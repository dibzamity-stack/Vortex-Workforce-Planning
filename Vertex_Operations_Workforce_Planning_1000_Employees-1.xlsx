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ssac\Desktop\"/>
    </mc:Choice>
  </mc:AlternateContent>
  <bookViews>
    <workbookView xWindow="0" yWindow="0" windowWidth="20490" windowHeight="7755" activeTab="2"/>
  </bookViews>
  <sheets>
    <sheet name="Raw_Workforce_Data" sheetId="1" r:id="rId1"/>
    <sheet name="Analysis" sheetId="3" r:id="rId2"/>
    <sheet name="Dashboard" sheetId="4" r:id="rId3"/>
  </sheets>
  <definedNames>
    <definedName name="_xlnm._FilterDatabase" localSheetId="0" hidden="1">Raw_Workforce_Data!$A$1:$R$1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3" l="1"/>
  <c r="E37" i="3"/>
  <c r="D38" i="3"/>
  <c r="E38" i="3"/>
  <c r="D39" i="3"/>
  <c r="E39" i="3"/>
  <c r="I22" i="3"/>
  <c r="I23" i="3"/>
  <c r="B34" i="3" l="1" a="1"/>
  <c r="H35" i="3"/>
  <c r="H36" i="3"/>
  <c r="B37" i="3" a="1"/>
  <c r="B37" i="3"/>
  <c r="H37" i="3"/>
  <c r="H38" i="3"/>
  <c r="H39" i="3"/>
  <c r="B34" i="3"/>
  <c r="H34" i="3"/>
  <c r="G35" i="3"/>
  <c r="G36" i="3"/>
  <c r="G37" i="3"/>
  <c r="G38" i="3"/>
  <c r="G39" i="3"/>
  <c r="G34" i="3"/>
  <c r="F35" i="3"/>
  <c r="F36" i="3"/>
  <c r="F37" i="3"/>
  <c r="F38" i="3"/>
  <c r="F39" i="3"/>
  <c r="F34" i="3"/>
  <c r="E35" i="3"/>
  <c r="E36" i="3"/>
  <c r="E34" i="3"/>
  <c r="D35" i="3"/>
  <c r="D36" i="3"/>
  <c r="D34" i="3"/>
  <c r="C35" i="3"/>
  <c r="C36" i="3"/>
  <c r="C37" i="3"/>
  <c r="C38" i="3"/>
  <c r="C39" i="3"/>
  <c r="C34" i="3"/>
  <c r="A22" i="3" a="1"/>
  <c r="Q23" i="3"/>
  <c r="B23" i="3"/>
  <c r="R23" i="3"/>
  <c r="Q24" i="3"/>
  <c r="B24" i="3"/>
  <c r="R24" i="3"/>
  <c r="Q25" i="3"/>
  <c r="B25" i="3"/>
  <c r="R25" i="3"/>
  <c r="Q26" i="3"/>
  <c r="B26" i="3"/>
  <c r="R26" i="3"/>
  <c r="Q27" i="3"/>
  <c r="B27" i="3"/>
  <c r="R27" i="3"/>
  <c r="A22" i="3"/>
  <c r="Q22" i="3"/>
  <c r="B22" i="3"/>
  <c r="R22" i="3"/>
  <c r="J23" i="3"/>
  <c r="D23" i="3"/>
  <c r="D22" i="3"/>
  <c r="D24" i="3"/>
  <c r="D25" i="3"/>
  <c r="D26" i="3"/>
  <c r="D27" i="3"/>
  <c r="K23" i="3"/>
  <c r="N23" i="3"/>
  <c r="O23" i="3"/>
  <c r="P23" i="3"/>
  <c r="J24" i="3"/>
  <c r="K24" i="3"/>
  <c r="N24" i="3"/>
  <c r="O24" i="3"/>
  <c r="P24" i="3"/>
  <c r="J25" i="3"/>
  <c r="K25" i="3"/>
  <c r="N25" i="3"/>
  <c r="O25" i="3"/>
  <c r="P25" i="3"/>
  <c r="J26" i="3"/>
  <c r="K26" i="3"/>
  <c r="N26" i="3"/>
  <c r="O26" i="3"/>
  <c r="P26" i="3"/>
  <c r="J27" i="3"/>
  <c r="K27" i="3"/>
  <c r="N27" i="3"/>
  <c r="O27" i="3"/>
  <c r="P27" i="3"/>
  <c r="J22" i="3"/>
  <c r="K22" i="3"/>
  <c r="N22" i="3"/>
  <c r="O22" i="3"/>
  <c r="P22" i="3"/>
  <c r="M23" i="3"/>
  <c r="M24" i="3"/>
  <c r="M25" i="3"/>
  <c r="M26" i="3"/>
  <c r="M27" i="3"/>
  <c r="L23" i="3"/>
  <c r="L24" i="3"/>
  <c r="L25" i="3"/>
  <c r="L26" i="3"/>
  <c r="L27" i="3"/>
  <c r="M22" i="3"/>
  <c r="L22" i="3"/>
  <c r="I24" i="3"/>
  <c r="I25" i="3"/>
  <c r="I26" i="3"/>
  <c r="I27" i="3"/>
  <c r="C23" i="3"/>
  <c r="H23" i="3"/>
  <c r="C24" i="3"/>
  <c r="H24" i="3"/>
  <c r="C25" i="3"/>
  <c r="H25" i="3"/>
  <c r="C26" i="3"/>
  <c r="H26" i="3"/>
  <c r="C27" i="3"/>
  <c r="H27" i="3"/>
  <c r="C22" i="3"/>
  <c r="H22" i="3"/>
  <c r="G23" i="3"/>
  <c r="G24" i="3"/>
  <c r="G25" i="3"/>
  <c r="G26" i="3"/>
  <c r="G27" i="3"/>
  <c r="G22" i="3"/>
  <c r="E27" i="3"/>
  <c r="E26" i="3"/>
  <c r="E25" i="3"/>
  <c r="E24" i="3"/>
  <c r="E23" i="3"/>
  <c r="E22" i="3"/>
  <c r="F27" i="3"/>
  <c r="F26" i="3"/>
  <c r="F25" i="3"/>
  <c r="F24" i="3"/>
  <c r="F23" i="3"/>
  <c r="F22" i="3"/>
  <c r="D13" i="3"/>
  <c r="D14" i="3"/>
  <c r="D15" i="3"/>
  <c r="D16" i="3"/>
  <c r="D17" i="3"/>
  <c r="B10" i="3"/>
  <c r="B9" i="3"/>
  <c r="B8" i="3"/>
  <c r="B7" i="3"/>
  <c r="B6" i="3"/>
  <c r="B5" i="3"/>
  <c r="B2" i="3"/>
  <c r="B3" i="3"/>
  <c r="B4" i="3"/>
  <c r="B39" i="3"/>
  <c r="B38" i="3"/>
  <c r="B36" i="3"/>
  <c r="B35" i="3"/>
  <c r="A27" i="3"/>
  <c r="A26" i="3"/>
  <c r="A25" i="3"/>
  <c r="A24" i="3"/>
  <c r="A23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<sst xmlns="http://schemas.openxmlformats.org/spreadsheetml/2006/main" count="8085" uniqueCount="1950">
  <si>
    <t>Employee ID</t>
  </si>
  <si>
    <t>Employee Name</t>
  </si>
  <si>
    <t>Department</t>
  </si>
  <si>
    <t>Team</t>
  </si>
  <si>
    <t>Manager</t>
  </si>
  <si>
    <t>Location</t>
  </si>
  <si>
    <t>Experience (Years)</t>
  </si>
  <si>
    <t>Monthly Salary (₹)</t>
  </si>
  <si>
    <t>Joining Date</t>
  </si>
  <si>
    <t>Attendance %</t>
  </si>
  <si>
    <t>Overtime Hours</t>
  </si>
  <si>
    <t>Productivity %</t>
  </si>
  <si>
    <t>Workload Assigned</t>
  </si>
  <si>
    <t>Workload Completed</t>
  </si>
  <si>
    <t>Customer Complaints</t>
  </si>
  <si>
    <t>Training Hours</t>
  </si>
  <si>
    <t>Resignation Risk</t>
  </si>
  <si>
    <t>Performance Rating</t>
  </si>
  <si>
    <t>Employee_1</t>
  </si>
  <si>
    <t>Sales</t>
  </si>
  <si>
    <t>Retention</t>
  </si>
  <si>
    <t>Sal Manager 1</t>
  </si>
  <si>
    <t>Hyderabad</t>
  </si>
  <si>
    <t>2025-08-27</t>
  </si>
  <si>
    <t>Medium</t>
  </si>
  <si>
    <t>Good</t>
  </si>
  <si>
    <t>Employee_2</t>
  </si>
  <si>
    <t>Finance</t>
  </si>
  <si>
    <t>Accounts</t>
  </si>
  <si>
    <t>Fin Manager 3</t>
  </si>
  <si>
    <t>2025-02-11</t>
  </si>
  <si>
    <t>Employee_3</t>
  </si>
  <si>
    <t>Operations</t>
  </si>
  <si>
    <t>Fulfillment</t>
  </si>
  <si>
    <t>Ope Manager 2</t>
  </si>
  <si>
    <t>Delhi</t>
  </si>
  <si>
    <t>2020-05-01</t>
  </si>
  <si>
    <t>High</t>
  </si>
  <si>
    <t>Employee_4</t>
  </si>
  <si>
    <t>Sal Manager 3</t>
  </si>
  <si>
    <t>Bengaluru</t>
  </si>
  <si>
    <t>2025-08-30</t>
  </si>
  <si>
    <t>Low</t>
  </si>
  <si>
    <t>Employee_5</t>
  </si>
  <si>
    <t>Customer Support</t>
  </si>
  <si>
    <t>Escalations</t>
  </si>
  <si>
    <t>Cus Manager 2</t>
  </si>
  <si>
    <t>2021-04-01</t>
  </si>
  <si>
    <t>Employee_6</t>
  </si>
  <si>
    <t>HR</t>
  </si>
  <si>
    <t>L&amp;D</t>
  </si>
  <si>
    <t>HR Manager 1</t>
  </si>
  <si>
    <t>2026-06-12</t>
  </si>
  <si>
    <t>Employee_7</t>
  </si>
  <si>
    <t>Voice Support</t>
  </si>
  <si>
    <t>Cus Manager 3</t>
  </si>
  <si>
    <t>2020-03-14</t>
  </si>
  <si>
    <t>Average</t>
  </si>
  <si>
    <t>Employee_8</t>
  </si>
  <si>
    <t>Recruitment</t>
  </si>
  <si>
    <t>HR Manager 3</t>
  </si>
  <si>
    <t>2025-08-11</t>
  </si>
  <si>
    <t>Excellent</t>
  </si>
  <si>
    <t>Employee_9</t>
  </si>
  <si>
    <t>Audit</t>
  </si>
  <si>
    <t>2019-04-02</t>
  </si>
  <si>
    <t>Employee_10</t>
  </si>
  <si>
    <t>Process Control</t>
  </si>
  <si>
    <t>2025-10-22</t>
  </si>
  <si>
    <t>Employee_11</t>
  </si>
  <si>
    <t>Email Support</t>
  </si>
  <si>
    <t>2024-03-28</t>
  </si>
  <si>
    <t>Employee_12</t>
  </si>
  <si>
    <t>2024-03-08</t>
  </si>
  <si>
    <t>Employee_13</t>
  </si>
  <si>
    <t>Billing</t>
  </si>
  <si>
    <t>Chennai</t>
  </si>
  <si>
    <t>2021-10-08</t>
  </si>
  <si>
    <t>Employee_14</t>
  </si>
  <si>
    <t>2021-05-13</t>
  </si>
  <si>
    <t>Employee_15</t>
  </si>
  <si>
    <t>Enterprise Sales</t>
  </si>
  <si>
    <t>Sal Manager 2</t>
  </si>
  <si>
    <t>2025-04-25</t>
  </si>
  <si>
    <t>Employee_16</t>
  </si>
  <si>
    <t>Fin Manager 2</t>
  </si>
  <si>
    <t>Mumbai</t>
  </si>
  <si>
    <t>2019-09-21</t>
  </si>
  <si>
    <t>Employee_17</t>
  </si>
  <si>
    <t>IT</t>
  </si>
  <si>
    <t>Infrastructure</t>
  </si>
  <si>
    <t>IT Manager 3</t>
  </si>
  <si>
    <t>2019-03-04</t>
  </si>
  <si>
    <t>Employee_18</t>
  </si>
  <si>
    <t>Ope Manager 1</t>
  </si>
  <si>
    <t>2025-02-12</t>
  </si>
  <si>
    <t>Employee_19</t>
  </si>
  <si>
    <t>Cus Manager 1</t>
  </si>
  <si>
    <t>2026-05-15</t>
  </si>
  <si>
    <t>Employee_20</t>
  </si>
  <si>
    <t>2022-09-30</t>
  </si>
  <si>
    <t>Employee_21</t>
  </si>
  <si>
    <t>Helpdesk</t>
  </si>
  <si>
    <t>Pune</t>
  </si>
  <si>
    <t>2024-12-31</t>
  </si>
  <si>
    <t>Employee_22</t>
  </si>
  <si>
    <t>Dispatch</t>
  </si>
  <si>
    <t>2021-06-01</t>
  </si>
  <si>
    <t>Employee_23</t>
  </si>
  <si>
    <t>2021-06-02</t>
  </si>
  <si>
    <t>Employee_24</t>
  </si>
  <si>
    <t>IT Manager 1</t>
  </si>
  <si>
    <t>2025-02-10</t>
  </si>
  <si>
    <t>Employee_25</t>
  </si>
  <si>
    <t>2026-01-24</t>
  </si>
  <si>
    <t>Employee_26</t>
  </si>
  <si>
    <t>2024-10-02</t>
  </si>
  <si>
    <t>Employee_27</t>
  </si>
  <si>
    <t>Fin Manager 1</t>
  </si>
  <si>
    <t>2021-03-09</t>
  </si>
  <si>
    <t>Employee_28</t>
  </si>
  <si>
    <t>Applications</t>
  </si>
  <si>
    <t>2019-12-29</t>
  </si>
  <si>
    <t>Employee_29</t>
  </si>
  <si>
    <t>2019-12-22</t>
  </si>
  <si>
    <t>Employee_30</t>
  </si>
  <si>
    <t>2023-06-21</t>
  </si>
  <si>
    <t>Employee_31</t>
  </si>
  <si>
    <t>Ope Manager 3</t>
  </si>
  <si>
    <t>2021-11-13</t>
  </si>
  <si>
    <t>Employee_32</t>
  </si>
  <si>
    <t>2025-06-13</t>
  </si>
  <si>
    <t>Employee_33</t>
  </si>
  <si>
    <t>2019-12-03</t>
  </si>
  <si>
    <t>Employee_34</t>
  </si>
  <si>
    <t>2023-01-23</t>
  </si>
  <si>
    <t>Employee_35</t>
  </si>
  <si>
    <t>Inside Sales</t>
  </si>
  <si>
    <t>2023-11-30</t>
  </si>
  <si>
    <t>Employee_36</t>
  </si>
  <si>
    <t>2020-12-25</t>
  </si>
  <si>
    <t>Employee_37</t>
  </si>
  <si>
    <t>2026-04-10</t>
  </si>
  <si>
    <t>Employee_38</t>
  </si>
  <si>
    <t>2021-07-23</t>
  </si>
  <si>
    <t>Employee_39</t>
  </si>
  <si>
    <t>2021-04-04</t>
  </si>
  <si>
    <t>Employee_40</t>
  </si>
  <si>
    <t>2023-07-11</t>
  </si>
  <si>
    <t>Employee_41</t>
  </si>
  <si>
    <t>2023-02-26</t>
  </si>
  <si>
    <t>Employee_42</t>
  </si>
  <si>
    <t>IT Manager 2</t>
  </si>
  <si>
    <t>2023-08-05</t>
  </si>
  <si>
    <t>Employee_43</t>
  </si>
  <si>
    <t>2024-02-09</t>
  </si>
  <si>
    <t>Employee_44</t>
  </si>
  <si>
    <t>2026-08-28</t>
  </si>
  <si>
    <t>Employee_45</t>
  </si>
  <si>
    <t>2020-10-19</t>
  </si>
  <si>
    <t>Employee_46</t>
  </si>
  <si>
    <t>2021-09-28</t>
  </si>
  <si>
    <t>Employee_47</t>
  </si>
  <si>
    <t>HR Manager 2</t>
  </si>
  <si>
    <t>2022-11-22</t>
  </si>
  <si>
    <t>Employee_48</t>
  </si>
  <si>
    <t>2026-08-20</t>
  </si>
  <si>
    <t>Employee_49</t>
  </si>
  <si>
    <t>2025-11-27</t>
  </si>
  <si>
    <t>Employee_50</t>
  </si>
  <si>
    <t>2023-11-18</t>
  </si>
  <si>
    <t>Employee_51</t>
  </si>
  <si>
    <t>2022-08-27</t>
  </si>
  <si>
    <t>Employee_52</t>
  </si>
  <si>
    <t>2022-05-17</t>
  </si>
  <si>
    <t>Employee_53</t>
  </si>
  <si>
    <t>2026-05-18</t>
  </si>
  <si>
    <t>Employee_54</t>
  </si>
  <si>
    <t>Employee Relations</t>
  </si>
  <si>
    <t>2025-08-14</t>
  </si>
  <si>
    <t>Employee_55</t>
  </si>
  <si>
    <t>2025-09-15</t>
  </si>
  <si>
    <t>Employee_56</t>
  </si>
  <si>
    <t>2023-01-02</t>
  </si>
  <si>
    <t>Employee_57</t>
  </si>
  <si>
    <t>2020-05-26</t>
  </si>
  <si>
    <t>Employee_58</t>
  </si>
  <si>
    <t>2019-03-22</t>
  </si>
  <si>
    <t>Employee_59</t>
  </si>
  <si>
    <t>2026-01-07</t>
  </si>
  <si>
    <t>Employee_60</t>
  </si>
  <si>
    <t>2023-05-11</t>
  </si>
  <si>
    <t>Employee_61</t>
  </si>
  <si>
    <t>2024-02-08</t>
  </si>
  <si>
    <t>Employee_62</t>
  </si>
  <si>
    <t>2020-10-05</t>
  </si>
  <si>
    <t>Employee_63</t>
  </si>
  <si>
    <t>2020-07-31</t>
  </si>
  <si>
    <t>Employee_64</t>
  </si>
  <si>
    <t>2020-12-26</t>
  </si>
  <si>
    <t>Employee_65</t>
  </si>
  <si>
    <t>Employee_66</t>
  </si>
  <si>
    <t>2019-08-18</t>
  </si>
  <si>
    <t>Needs Improvement</t>
  </si>
  <si>
    <t>Employee_67</t>
  </si>
  <si>
    <t>2021-04-12</t>
  </si>
  <si>
    <t>Employee_68</t>
  </si>
  <si>
    <t>2020-07-19</t>
  </si>
  <si>
    <t>Employee_69</t>
  </si>
  <si>
    <t>2025-03-02</t>
  </si>
  <si>
    <t>Employee_70</t>
  </si>
  <si>
    <t>2021-07-27</t>
  </si>
  <si>
    <t>Employee_71</t>
  </si>
  <si>
    <t>2020-06-17</t>
  </si>
  <si>
    <t>Employee_72</t>
  </si>
  <si>
    <t>2024-09-10</t>
  </si>
  <si>
    <t>Employee_73</t>
  </si>
  <si>
    <t>2023-04-17</t>
  </si>
  <si>
    <t>Employee_74</t>
  </si>
  <si>
    <t>2021-11-10</t>
  </si>
  <si>
    <t>Employee_75</t>
  </si>
  <si>
    <t>2026-08-12</t>
  </si>
  <si>
    <t>Employee_76</t>
  </si>
  <si>
    <t>2021-02-25</t>
  </si>
  <si>
    <t>Employee_77</t>
  </si>
  <si>
    <t>2023-12-14</t>
  </si>
  <si>
    <t>Employee_78</t>
  </si>
  <si>
    <t>2025-07-04</t>
  </si>
  <si>
    <t>Employee_79</t>
  </si>
  <si>
    <t>2026-06-17</t>
  </si>
  <si>
    <t>Employee_80</t>
  </si>
  <si>
    <t>2026-04-29</t>
  </si>
  <si>
    <t>Employee_81</t>
  </si>
  <si>
    <t>2026-03-06</t>
  </si>
  <si>
    <t>Employee_82</t>
  </si>
  <si>
    <t>2026-08-22</t>
  </si>
  <si>
    <t>Employee_83</t>
  </si>
  <si>
    <t>2020-09-22</t>
  </si>
  <si>
    <t>Employee_84</t>
  </si>
  <si>
    <t>2025-02-24</t>
  </si>
  <si>
    <t>Employee_85</t>
  </si>
  <si>
    <t>2019-07-16</t>
  </si>
  <si>
    <t>Employee_86</t>
  </si>
  <si>
    <t>2019-02-13</t>
  </si>
  <si>
    <t>Employee_87</t>
  </si>
  <si>
    <t>2025-11-10</t>
  </si>
  <si>
    <t>Employee_88</t>
  </si>
  <si>
    <t>2020-02-25</t>
  </si>
  <si>
    <t>Employee_89</t>
  </si>
  <si>
    <t>2023-09-18</t>
  </si>
  <si>
    <t>Employee_90</t>
  </si>
  <si>
    <t>2021-10-23</t>
  </si>
  <si>
    <t>Employee_91</t>
  </si>
  <si>
    <t>2020-10-08</t>
  </si>
  <si>
    <t>Employee_92</t>
  </si>
  <si>
    <t>2022-08-20</t>
  </si>
  <si>
    <t>Employee_93</t>
  </si>
  <si>
    <t>2019-07-04</t>
  </si>
  <si>
    <t>Employee_94</t>
  </si>
  <si>
    <t>2023-05-24</t>
  </si>
  <si>
    <t>Employee_95</t>
  </si>
  <si>
    <t>2024-01-12</t>
  </si>
  <si>
    <t>Employee_96</t>
  </si>
  <si>
    <t>2024-08-03</t>
  </si>
  <si>
    <t>Employee_97</t>
  </si>
  <si>
    <t>2019-08-11</t>
  </si>
  <si>
    <t>Employee_98</t>
  </si>
  <si>
    <t>2024-08-22</t>
  </si>
  <si>
    <t>Employee_99</t>
  </si>
  <si>
    <t>2023-06-19</t>
  </si>
  <si>
    <t>Employee_100</t>
  </si>
  <si>
    <t>2026-07-31</t>
  </si>
  <si>
    <t>Employee_101</t>
  </si>
  <si>
    <t>2023-04-18</t>
  </si>
  <si>
    <t>Employee_102</t>
  </si>
  <si>
    <t>2024-07-10</t>
  </si>
  <si>
    <t>Employee_103</t>
  </si>
  <si>
    <t>2019-04-24</t>
  </si>
  <si>
    <t>Employee_104</t>
  </si>
  <si>
    <t>2026-03-23</t>
  </si>
  <si>
    <t>Employee_105</t>
  </si>
  <si>
    <t>2025-06-29</t>
  </si>
  <si>
    <t>Employee_106</t>
  </si>
  <si>
    <t>2022-02-26</t>
  </si>
  <si>
    <t>Employee_107</t>
  </si>
  <si>
    <t>2024-03-04</t>
  </si>
  <si>
    <t>Employee_108</t>
  </si>
  <si>
    <t>2023-10-24</t>
  </si>
  <si>
    <t>Employee_109</t>
  </si>
  <si>
    <t>2019-05-24</t>
  </si>
  <si>
    <t>Employee_110</t>
  </si>
  <si>
    <t>2024-12-27</t>
  </si>
  <si>
    <t>Employee_111</t>
  </si>
  <si>
    <t>2026-04-15</t>
  </si>
  <si>
    <t>Employee_112</t>
  </si>
  <si>
    <t>2025-04-27</t>
  </si>
  <si>
    <t>Employee_113</t>
  </si>
  <si>
    <t>2025-05-23</t>
  </si>
  <si>
    <t>Employee_114</t>
  </si>
  <si>
    <t>2024-11-12</t>
  </si>
  <si>
    <t>Employee_115</t>
  </si>
  <si>
    <t>2026-04-28</t>
  </si>
  <si>
    <t>Employee_116</t>
  </si>
  <si>
    <t>2019-02-20</t>
  </si>
  <si>
    <t>Employee_117</t>
  </si>
  <si>
    <t>2020-02-19</t>
  </si>
  <si>
    <t>Employee_118</t>
  </si>
  <si>
    <t>2023-07-10</t>
  </si>
  <si>
    <t>Employee_119</t>
  </si>
  <si>
    <t>2019-11-27</t>
  </si>
  <si>
    <t>Employee_120</t>
  </si>
  <si>
    <t>2019-02-27</t>
  </si>
  <si>
    <t>Employee_121</t>
  </si>
  <si>
    <t>2019-04-08</t>
  </si>
  <si>
    <t>Employee_122</t>
  </si>
  <si>
    <t>2024-08-13</t>
  </si>
  <si>
    <t>Employee_123</t>
  </si>
  <si>
    <t>2021-04-13</t>
  </si>
  <si>
    <t>Employee_124</t>
  </si>
  <si>
    <t>2025-07-14</t>
  </si>
  <si>
    <t>Employee_125</t>
  </si>
  <si>
    <t>2022-01-08</t>
  </si>
  <si>
    <t>Employee_126</t>
  </si>
  <si>
    <t>2024-03-30</t>
  </si>
  <si>
    <t>Employee_127</t>
  </si>
  <si>
    <t>2025-12-26</t>
  </si>
  <si>
    <t>Employee_128</t>
  </si>
  <si>
    <t>2023-04-21</t>
  </si>
  <si>
    <t>Employee_129</t>
  </si>
  <si>
    <t>2022-09-24</t>
  </si>
  <si>
    <t>Employee_130</t>
  </si>
  <si>
    <t>2024-10-19</t>
  </si>
  <si>
    <t>Employee_131</t>
  </si>
  <si>
    <t>2021-09-05</t>
  </si>
  <si>
    <t>Employee_132</t>
  </si>
  <si>
    <t>2022-09-26</t>
  </si>
  <si>
    <t>Employee_133</t>
  </si>
  <si>
    <t>2025-02-18</t>
  </si>
  <si>
    <t>Employee_134</t>
  </si>
  <si>
    <t>2019-09-17</t>
  </si>
  <si>
    <t>Employee_135</t>
  </si>
  <si>
    <t>2026-03-08</t>
  </si>
  <si>
    <t>Employee_136</t>
  </si>
  <si>
    <t>2021-09-12</t>
  </si>
  <si>
    <t>Employee_137</t>
  </si>
  <si>
    <t>2023-08-02</t>
  </si>
  <si>
    <t>Employee_138</t>
  </si>
  <si>
    <t>2024-05-28</t>
  </si>
  <si>
    <t>Employee_139</t>
  </si>
  <si>
    <t>2026-02-27</t>
  </si>
  <si>
    <t>Employee_140</t>
  </si>
  <si>
    <t>2025-02-17</t>
  </si>
  <si>
    <t>Employee_141</t>
  </si>
  <si>
    <t>2022-01-18</t>
  </si>
  <si>
    <t>Employee_142</t>
  </si>
  <si>
    <t>2019-07-23</t>
  </si>
  <si>
    <t>Employee_143</t>
  </si>
  <si>
    <t>2025-02-23</t>
  </si>
  <si>
    <t>Employee_144</t>
  </si>
  <si>
    <t>2023-06-05</t>
  </si>
  <si>
    <t>Employee_145</t>
  </si>
  <si>
    <t>2023-06-15</t>
  </si>
  <si>
    <t>Employee_146</t>
  </si>
  <si>
    <t>2025-12-31</t>
  </si>
  <si>
    <t>Employee_147</t>
  </si>
  <si>
    <t>2024-08-21</t>
  </si>
  <si>
    <t>Employee_148</t>
  </si>
  <si>
    <t>2020-09-23</t>
  </si>
  <si>
    <t>Employee_149</t>
  </si>
  <si>
    <t>Employee_150</t>
  </si>
  <si>
    <t>2022-12-28</t>
  </si>
  <si>
    <t>Employee_151</t>
  </si>
  <si>
    <t>2025-08-28</t>
  </si>
  <si>
    <t>Employee_152</t>
  </si>
  <si>
    <t>2021-08-29</t>
  </si>
  <si>
    <t>Employee_153</t>
  </si>
  <si>
    <t>2025-11-12</t>
  </si>
  <si>
    <t>Employee_154</t>
  </si>
  <si>
    <t>2020-01-04</t>
  </si>
  <si>
    <t>Employee_155</t>
  </si>
  <si>
    <t>2025-08-07</t>
  </si>
  <si>
    <t>Employee_156</t>
  </si>
  <si>
    <t>2024-11-26</t>
  </si>
  <si>
    <t>Employee_157</t>
  </si>
  <si>
    <t>Employee_158</t>
  </si>
  <si>
    <t>2024-12-03</t>
  </si>
  <si>
    <t>Employee_159</t>
  </si>
  <si>
    <t>2020-10-01</t>
  </si>
  <si>
    <t>Employee_160</t>
  </si>
  <si>
    <t>2023-11-06</t>
  </si>
  <si>
    <t>Employee_161</t>
  </si>
  <si>
    <t>2019-07-07</t>
  </si>
  <si>
    <t>Employee_162</t>
  </si>
  <si>
    <t>2021-11-25</t>
  </si>
  <si>
    <t>Employee_163</t>
  </si>
  <si>
    <t>Employee_164</t>
  </si>
  <si>
    <t>2020-10-17</t>
  </si>
  <si>
    <t>Employee_165</t>
  </si>
  <si>
    <t>2023-07-23</t>
  </si>
  <si>
    <t>Employee_166</t>
  </si>
  <si>
    <t>2026-04-05</t>
  </si>
  <si>
    <t>Employee_167</t>
  </si>
  <si>
    <t>Employee_168</t>
  </si>
  <si>
    <t>2019-12-16</t>
  </si>
  <si>
    <t>Employee_169</t>
  </si>
  <si>
    <t>2020-01-11</t>
  </si>
  <si>
    <t>Employee_170</t>
  </si>
  <si>
    <t>2024-08-11</t>
  </si>
  <si>
    <t>Employee_171</t>
  </si>
  <si>
    <t>2020-04-28</t>
  </si>
  <si>
    <t>Employee_172</t>
  </si>
  <si>
    <t>2022-06-25</t>
  </si>
  <si>
    <t>Employee_173</t>
  </si>
  <si>
    <t>2023-03-27</t>
  </si>
  <si>
    <t>Employee_174</t>
  </si>
  <si>
    <t>2022-07-24</t>
  </si>
  <si>
    <t>Employee_175</t>
  </si>
  <si>
    <t>2022-06-22</t>
  </si>
  <si>
    <t>Employee_176</t>
  </si>
  <si>
    <t>2020-02-11</t>
  </si>
  <si>
    <t>Employee_177</t>
  </si>
  <si>
    <t>2023-06-06</t>
  </si>
  <si>
    <t>Employee_178</t>
  </si>
  <si>
    <t>2020-04-30</t>
  </si>
  <si>
    <t>Employee_179</t>
  </si>
  <si>
    <t>Employee_180</t>
  </si>
  <si>
    <t>2020-02-23</t>
  </si>
  <si>
    <t>Employee_181</t>
  </si>
  <si>
    <t>2019-11-11</t>
  </si>
  <si>
    <t>Employee_182</t>
  </si>
  <si>
    <t>2019-04-27</t>
  </si>
  <si>
    <t>Employee_183</t>
  </si>
  <si>
    <t>2020-05-12</t>
  </si>
  <si>
    <t>Employee_184</t>
  </si>
  <si>
    <t>2019-10-15</t>
  </si>
  <si>
    <t>Employee_185</t>
  </si>
  <si>
    <t>Employee_186</t>
  </si>
  <si>
    <t>2024-06-24</t>
  </si>
  <si>
    <t>Employee_187</t>
  </si>
  <si>
    <t>2025-09-28</t>
  </si>
  <si>
    <t>Employee_188</t>
  </si>
  <si>
    <t>2022-12-06</t>
  </si>
  <si>
    <t>Employee_189</t>
  </si>
  <si>
    <t>2022-09-11</t>
  </si>
  <si>
    <t>Employee_190</t>
  </si>
  <si>
    <t>2026-03-02</t>
  </si>
  <si>
    <t>Employee_191</t>
  </si>
  <si>
    <t>2024-09-30</t>
  </si>
  <si>
    <t>Employee_192</t>
  </si>
  <si>
    <t>2025-01-12</t>
  </si>
  <si>
    <t>Employee_193</t>
  </si>
  <si>
    <t>2019-03-28</t>
  </si>
  <si>
    <t>Employee_194</t>
  </si>
  <si>
    <t>2021-05-24</t>
  </si>
  <si>
    <t>Employee_195</t>
  </si>
  <si>
    <t>2026-08-09</t>
  </si>
  <si>
    <t>Employee_196</t>
  </si>
  <si>
    <t>2023-11-24</t>
  </si>
  <si>
    <t>Employee_197</t>
  </si>
  <si>
    <t>2019-06-19</t>
  </si>
  <si>
    <t>Employee_198</t>
  </si>
  <si>
    <t>2019-06-20</t>
  </si>
  <si>
    <t>Employee_199</t>
  </si>
  <si>
    <t>2020-02-02</t>
  </si>
  <si>
    <t>Employee_200</t>
  </si>
  <si>
    <t>2022-07-05</t>
  </si>
  <si>
    <t>Employee_201</t>
  </si>
  <si>
    <t>2021-08-22</t>
  </si>
  <si>
    <t>Employee_202</t>
  </si>
  <si>
    <t>2020-03-25</t>
  </si>
  <si>
    <t>Employee_203</t>
  </si>
  <si>
    <t>Employee_204</t>
  </si>
  <si>
    <t>2021-09-16</t>
  </si>
  <si>
    <t>Employee_205</t>
  </si>
  <si>
    <t>2019-09-25</t>
  </si>
  <si>
    <t>Employee_206</t>
  </si>
  <si>
    <t>2023-06-04</t>
  </si>
  <si>
    <t>Employee_207</t>
  </si>
  <si>
    <t>2023-02-06</t>
  </si>
  <si>
    <t>Employee_208</t>
  </si>
  <si>
    <t>2026-01-30</t>
  </si>
  <si>
    <t>Employee_209</t>
  </si>
  <si>
    <t>2019-04-18</t>
  </si>
  <si>
    <t>Employee_210</t>
  </si>
  <si>
    <t>2023-02-19</t>
  </si>
  <si>
    <t>Employee_211</t>
  </si>
  <si>
    <t>Employee_212</t>
  </si>
  <si>
    <t>2019-10-09</t>
  </si>
  <si>
    <t>Employee_213</t>
  </si>
  <si>
    <t>2020-07-04</t>
  </si>
  <si>
    <t>Employee_214</t>
  </si>
  <si>
    <t>2025-07-05</t>
  </si>
  <si>
    <t>Employee_215</t>
  </si>
  <si>
    <t>2021-07-28</t>
  </si>
  <si>
    <t>Employee_216</t>
  </si>
  <si>
    <t>2023-10-03</t>
  </si>
  <si>
    <t>Employee_217</t>
  </si>
  <si>
    <t>2024-01-09</t>
  </si>
  <si>
    <t>Employee_218</t>
  </si>
  <si>
    <t>2022-07-13</t>
  </si>
  <si>
    <t>Employee_219</t>
  </si>
  <si>
    <t>2021-05-20</t>
  </si>
  <si>
    <t>Employee_220</t>
  </si>
  <si>
    <t>2023-03-10</t>
  </si>
  <si>
    <t>Employee_221</t>
  </si>
  <si>
    <t>2024-09-13</t>
  </si>
  <si>
    <t>Employee_222</t>
  </si>
  <si>
    <t>2021-02-23</t>
  </si>
  <si>
    <t>Employee_223</t>
  </si>
  <si>
    <t>2020-02-26</t>
  </si>
  <si>
    <t>Employee_224</t>
  </si>
  <si>
    <t>2021-11-06</t>
  </si>
  <si>
    <t>Employee_225</t>
  </si>
  <si>
    <t>2026-02-19</t>
  </si>
  <si>
    <t>Employee_226</t>
  </si>
  <si>
    <t>2026-06-30</t>
  </si>
  <si>
    <t>Employee_227</t>
  </si>
  <si>
    <t>2020-07-26</t>
  </si>
  <si>
    <t>Employee_228</t>
  </si>
  <si>
    <t>2025-04-08</t>
  </si>
  <si>
    <t>Employee_229</t>
  </si>
  <si>
    <t>2025-02-01</t>
  </si>
  <si>
    <t>Employee_230</t>
  </si>
  <si>
    <t>2025-11-03</t>
  </si>
  <si>
    <t>Employee_231</t>
  </si>
  <si>
    <t>2023-04-29</t>
  </si>
  <si>
    <t>Employee_232</t>
  </si>
  <si>
    <t>2026-03-15</t>
  </si>
  <si>
    <t>Employee_233</t>
  </si>
  <si>
    <t>2022-03-19</t>
  </si>
  <si>
    <t>Employee_234</t>
  </si>
  <si>
    <t>2022-05-05</t>
  </si>
  <si>
    <t>Employee_235</t>
  </si>
  <si>
    <t>2024-11-24</t>
  </si>
  <si>
    <t>Employee_236</t>
  </si>
  <si>
    <t>2020-09-08</t>
  </si>
  <si>
    <t>Employee_237</t>
  </si>
  <si>
    <t>2021-06-17</t>
  </si>
  <si>
    <t>Employee_238</t>
  </si>
  <si>
    <t>2025-03-26</t>
  </si>
  <si>
    <t>Employee_239</t>
  </si>
  <si>
    <t>2023-10-18</t>
  </si>
  <si>
    <t>Employee_240</t>
  </si>
  <si>
    <t>2020-08-22</t>
  </si>
  <si>
    <t>Employee_241</t>
  </si>
  <si>
    <t>2021-09-20</t>
  </si>
  <si>
    <t>Employee_242</t>
  </si>
  <si>
    <t>2021-07-26</t>
  </si>
  <si>
    <t>Employee_243</t>
  </si>
  <si>
    <t>2019-04-17</t>
  </si>
  <si>
    <t>Employee_244</t>
  </si>
  <si>
    <t>2019-03-21</t>
  </si>
  <si>
    <t>Employee_245</t>
  </si>
  <si>
    <t>2021-06-24</t>
  </si>
  <si>
    <t>Employee_246</t>
  </si>
  <si>
    <t>2022-12-18</t>
  </si>
  <si>
    <t>Employee_247</t>
  </si>
  <si>
    <t>2019-10-02</t>
  </si>
  <si>
    <t>Employee_248</t>
  </si>
  <si>
    <t>2025-11-02</t>
  </si>
  <si>
    <t>Employee_249</t>
  </si>
  <si>
    <t>2020-09-19</t>
  </si>
  <si>
    <t>Employee_250</t>
  </si>
  <si>
    <t>2019-06-21</t>
  </si>
  <si>
    <t>Employee_251</t>
  </si>
  <si>
    <t>2021-08-13</t>
  </si>
  <si>
    <t>Employee_252</t>
  </si>
  <si>
    <t>Employee_253</t>
  </si>
  <si>
    <t>2026-07-21</t>
  </si>
  <si>
    <t>Employee_254</t>
  </si>
  <si>
    <t>2026-06-04</t>
  </si>
  <si>
    <t>Employee_255</t>
  </si>
  <si>
    <t>2020-01-17</t>
  </si>
  <si>
    <t>Employee_256</t>
  </si>
  <si>
    <t>2020-07-08</t>
  </si>
  <si>
    <t>Employee_257</t>
  </si>
  <si>
    <t>2026-08-27</t>
  </si>
  <si>
    <t>Employee_258</t>
  </si>
  <si>
    <t>2019-12-31</t>
  </si>
  <si>
    <t>Employee_259</t>
  </si>
  <si>
    <t>2022-09-03</t>
  </si>
  <si>
    <t>Employee_260</t>
  </si>
  <si>
    <t>2023-12-11</t>
  </si>
  <si>
    <t>Employee_261</t>
  </si>
  <si>
    <t>2020-09-28</t>
  </si>
  <si>
    <t>Employee_262</t>
  </si>
  <si>
    <t>2024-02-28</t>
  </si>
  <si>
    <t>Employee_263</t>
  </si>
  <si>
    <t>Employee_264</t>
  </si>
  <si>
    <t>Employee_265</t>
  </si>
  <si>
    <t>2020-12-15</t>
  </si>
  <si>
    <t>Employee_266</t>
  </si>
  <si>
    <t>2026-01-16</t>
  </si>
  <si>
    <t>Employee_267</t>
  </si>
  <si>
    <t>Employee_268</t>
  </si>
  <si>
    <t>2025-02-27</t>
  </si>
  <si>
    <t>Employee_269</t>
  </si>
  <si>
    <t>2024-11-19</t>
  </si>
  <si>
    <t>Employee_270</t>
  </si>
  <si>
    <t>2019-04-26</t>
  </si>
  <si>
    <t>Employee_271</t>
  </si>
  <si>
    <t>2024-04-25</t>
  </si>
  <si>
    <t>Employee_272</t>
  </si>
  <si>
    <t>2022-07-22</t>
  </si>
  <si>
    <t>Employee_273</t>
  </si>
  <si>
    <t>2020-01-02</t>
  </si>
  <si>
    <t>Employee_274</t>
  </si>
  <si>
    <t>2024-02-07</t>
  </si>
  <si>
    <t>Employee_275</t>
  </si>
  <si>
    <t>Employee_276</t>
  </si>
  <si>
    <t>2019-08-13</t>
  </si>
  <si>
    <t>Employee_277</t>
  </si>
  <si>
    <t>2022-02-05</t>
  </si>
  <si>
    <t>Employee_278</t>
  </si>
  <si>
    <t>2024-01-03</t>
  </si>
  <si>
    <t>Employee_279</t>
  </si>
  <si>
    <t>2025-09-04</t>
  </si>
  <si>
    <t>Employee_280</t>
  </si>
  <si>
    <t>2026-01-02</t>
  </si>
  <si>
    <t>Employee_281</t>
  </si>
  <si>
    <t>2026-07-13</t>
  </si>
  <si>
    <t>Employee_282</t>
  </si>
  <si>
    <t>2023-12-15</t>
  </si>
  <si>
    <t>Employee_283</t>
  </si>
  <si>
    <t>2022-05-31</t>
  </si>
  <si>
    <t>Employee_284</t>
  </si>
  <si>
    <t>2023-08-10</t>
  </si>
  <si>
    <t>Employee_285</t>
  </si>
  <si>
    <t>2024-01-04</t>
  </si>
  <si>
    <t>Employee_286</t>
  </si>
  <si>
    <t>2021-11-12</t>
  </si>
  <si>
    <t>Employee_287</t>
  </si>
  <si>
    <t>2024-04-16</t>
  </si>
  <si>
    <t>Employee_288</t>
  </si>
  <si>
    <t>2021-01-23</t>
  </si>
  <si>
    <t>Employee_289</t>
  </si>
  <si>
    <t>2024-03-16</t>
  </si>
  <si>
    <t>Employee_290</t>
  </si>
  <si>
    <t>2026-07-20</t>
  </si>
  <si>
    <t>Employee_291</t>
  </si>
  <si>
    <t>2021-04-23</t>
  </si>
  <si>
    <t>Employee_292</t>
  </si>
  <si>
    <t>2024-02-10</t>
  </si>
  <si>
    <t>Employee_293</t>
  </si>
  <si>
    <t>2023-05-31</t>
  </si>
  <si>
    <t>Employee_294</t>
  </si>
  <si>
    <t>2025-06-20</t>
  </si>
  <si>
    <t>Employee_295</t>
  </si>
  <si>
    <t>2024-02-25</t>
  </si>
  <si>
    <t>Employee_296</t>
  </si>
  <si>
    <t>2021-07-29</t>
  </si>
  <si>
    <t>Employee_297</t>
  </si>
  <si>
    <t>Employee_298</t>
  </si>
  <si>
    <t>2019-01-21</t>
  </si>
  <si>
    <t>Employee_299</t>
  </si>
  <si>
    <t>Employee_300</t>
  </si>
  <si>
    <t>2022-09-16</t>
  </si>
  <si>
    <t>Employee_301</t>
  </si>
  <si>
    <t>2024-11-05</t>
  </si>
  <si>
    <t>Employee_302</t>
  </si>
  <si>
    <t>2026-06-08</t>
  </si>
  <si>
    <t>Employee_303</t>
  </si>
  <si>
    <t>2025-04-01</t>
  </si>
  <si>
    <t>Employee_304</t>
  </si>
  <si>
    <t>Employee_305</t>
  </si>
  <si>
    <t>2025-05-11</t>
  </si>
  <si>
    <t>Employee_306</t>
  </si>
  <si>
    <t>2023-03-03</t>
  </si>
  <si>
    <t>Employee_307</t>
  </si>
  <si>
    <t>2023-06-24</t>
  </si>
  <si>
    <t>Employee_308</t>
  </si>
  <si>
    <t>2021-07-01</t>
  </si>
  <si>
    <t>Employee_309</t>
  </si>
  <si>
    <t>Employee_310</t>
  </si>
  <si>
    <t>2019-12-11</t>
  </si>
  <si>
    <t>Employee_311</t>
  </si>
  <si>
    <t>2026-05-03</t>
  </si>
  <si>
    <t>Employee_312</t>
  </si>
  <si>
    <t>2021-07-15</t>
  </si>
  <si>
    <t>Employee_313</t>
  </si>
  <si>
    <t>2025-07-19</t>
  </si>
  <si>
    <t>Employee_314</t>
  </si>
  <si>
    <t>2023-02-17</t>
  </si>
  <si>
    <t>Employee_315</t>
  </si>
  <si>
    <t>2023-02-02</t>
  </si>
  <si>
    <t>Employee_316</t>
  </si>
  <si>
    <t>Employee_317</t>
  </si>
  <si>
    <t>2021-05-25</t>
  </si>
  <si>
    <t>Employee_318</t>
  </si>
  <si>
    <t>2026-03-01</t>
  </si>
  <si>
    <t>Employee_319</t>
  </si>
  <si>
    <t>2026-06-10</t>
  </si>
  <si>
    <t>Employee_320</t>
  </si>
  <si>
    <t>2025-01-15</t>
  </si>
  <si>
    <t>Employee_321</t>
  </si>
  <si>
    <t>2024-11-17</t>
  </si>
  <si>
    <t>Employee_322</t>
  </si>
  <si>
    <t>2026-02-03</t>
  </si>
  <si>
    <t>Employee_323</t>
  </si>
  <si>
    <t>2020-11-30</t>
  </si>
  <si>
    <t>Employee_324</t>
  </si>
  <si>
    <t>2022-09-28</t>
  </si>
  <si>
    <t>Employee_325</t>
  </si>
  <si>
    <t>2019-03-18</t>
  </si>
  <si>
    <t>Employee_326</t>
  </si>
  <si>
    <t>2025-10-21</t>
  </si>
  <si>
    <t>Employee_327</t>
  </si>
  <si>
    <t>2022-05-08</t>
  </si>
  <si>
    <t>Employee_328</t>
  </si>
  <si>
    <t>2025-12-29</t>
  </si>
  <si>
    <t>Employee_329</t>
  </si>
  <si>
    <t>2019-01-20</t>
  </si>
  <si>
    <t>Employee_330</t>
  </si>
  <si>
    <t>2025-07-12</t>
  </si>
  <si>
    <t>Employee_331</t>
  </si>
  <si>
    <t>2021-08-07</t>
  </si>
  <si>
    <t>Employee_332</t>
  </si>
  <si>
    <t>2021-05-11</t>
  </si>
  <si>
    <t>Employee_333</t>
  </si>
  <si>
    <t>Employee_334</t>
  </si>
  <si>
    <t>2023-08-24</t>
  </si>
  <si>
    <t>Employee_335</t>
  </si>
  <si>
    <t>2020-08-20</t>
  </si>
  <si>
    <t>Employee_336</t>
  </si>
  <si>
    <t>2020-11-04</t>
  </si>
  <si>
    <t>Employee_337</t>
  </si>
  <si>
    <t>2024-08-09</t>
  </si>
  <si>
    <t>Employee_338</t>
  </si>
  <si>
    <t>2023-08-30</t>
  </si>
  <si>
    <t>Employee_339</t>
  </si>
  <si>
    <t>2026-01-14</t>
  </si>
  <si>
    <t>Employee_340</t>
  </si>
  <si>
    <t>2025-12-14</t>
  </si>
  <si>
    <t>Employee_341</t>
  </si>
  <si>
    <t>2022-08-09</t>
  </si>
  <si>
    <t>Employee_342</t>
  </si>
  <si>
    <t>2019-01-16</t>
  </si>
  <si>
    <t>Employee_343</t>
  </si>
  <si>
    <t>2022-01-12</t>
  </si>
  <si>
    <t>Employee_344</t>
  </si>
  <si>
    <t>Employee_345</t>
  </si>
  <si>
    <t>2019-03-13</t>
  </si>
  <si>
    <t>Employee_346</t>
  </si>
  <si>
    <t>2021-05-22</t>
  </si>
  <si>
    <t>Employee_347</t>
  </si>
  <si>
    <t>2021-12-12</t>
  </si>
  <si>
    <t>Employee_348</t>
  </si>
  <si>
    <t>2020-06-16</t>
  </si>
  <si>
    <t>Employee_349</t>
  </si>
  <si>
    <t>2020-07-21</t>
  </si>
  <si>
    <t>Employee_350</t>
  </si>
  <si>
    <t>2023-03-07</t>
  </si>
  <si>
    <t>Employee_351</t>
  </si>
  <si>
    <t>2023-11-12</t>
  </si>
  <si>
    <t>Employee_352</t>
  </si>
  <si>
    <t>2024-11-28</t>
  </si>
  <si>
    <t>Employee_353</t>
  </si>
  <si>
    <t>2022-10-18</t>
  </si>
  <si>
    <t>Employee_354</t>
  </si>
  <si>
    <t>2026-06-25</t>
  </si>
  <si>
    <t>Employee_355</t>
  </si>
  <si>
    <t>2019-05-12</t>
  </si>
  <si>
    <t>Employee_356</t>
  </si>
  <si>
    <t>2019-12-20</t>
  </si>
  <si>
    <t>Employee_357</t>
  </si>
  <si>
    <t>2020-03-03</t>
  </si>
  <si>
    <t>Employee_358</t>
  </si>
  <si>
    <t>2026-07-02</t>
  </si>
  <si>
    <t>Employee_359</t>
  </si>
  <si>
    <t>Employee_360</t>
  </si>
  <si>
    <t>2021-09-30</t>
  </si>
  <si>
    <t>Employee_361</t>
  </si>
  <si>
    <t>2019-11-29</t>
  </si>
  <si>
    <t>Employee_362</t>
  </si>
  <si>
    <t>Employee_363</t>
  </si>
  <si>
    <t>Employee_364</t>
  </si>
  <si>
    <t>2019-06-22</t>
  </si>
  <si>
    <t>Employee_365</t>
  </si>
  <si>
    <t>2021-06-15</t>
  </si>
  <si>
    <t>Employee_366</t>
  </si>
  <si>
    <t>2026-04-27</t>
  </si>
  <si>
    <t>Employee_367</t>
  </si>
  <si>
    <t>2024-10-20</t>
  </si>
  <si>
    <t>Employee_368</t>
  </si>
  <si>
    <t>2019-05-17</t>
  </si>
  <si>
    <t>Employee_369</t>
  </si>
  <si>
    <t>2020-04-04</t>
  </si>
  <si>
    <t>Employee_370</t>
  </si>
  <si>
    <t>Employee_371</t>
  </si>
  <si>
    <t>Employee_372</t>
  </si>
  <si>
    <t>2021-08-16</t>
  </si>
  <si>
    <t>Employee_373</t>
  </si>
  <si>
    <t>2024-09-11</t>
  </si>
  <si>
    <t>Employee_374</t>
  </si>
  <si>
    <t>2023-02-11</t>
  </si>
  <si>
    <t>Employee_375</t>
  </si>
  <si>
    <t>Employee_376</t>
  </si>
  <si>
    <t>2024-12-02</t>
  </si>
  <si>
    <t>Employee_377</t>
  </si>
  <si>
    <t>2019-07-31</t>
  </si>
  <si>
    <t>Employee_378</t>
  </si>
  <si>
    <t>2022-12-19</t>
  </si>
  <si>
    <t>Employee_379</t>
  </si>
  <si>
    <t>2023-08-27</t>
  </si>
  <si>
    <t>Employee_380</t>
  </si>
  <si>
    <t>2024-05-06</t>
  </si>
  <si>
    <t>Employee_381</t>
  </si>
  <si>
    <t>2021-08-26</t>
  </si>
  <si>
    <t>Employee_382</t>
  </si>
  <si>
    <t>2026-03-21</t>
  </si>
  <si>
    <t>Employee_383</t>
  </si>
  <si>
    <t>2022-08-13</t>
  </si>
  <si>
    <t>Employee_384</t>
  </si>
  <si>
    <t>2020-05-28</t>
  </si>
  <si>
    <t>Employee_385</t>
  </si>
  <si>
    <t>2020-07-24</t>
  </si>
  <si>
    <t>Employee_386</t>
  </si>
  <si>
    <t>2021-12-11</t>
  </si>
  <si>
    <t>Employee_387</t>
  </si>
  <si>
    <t>2022-03-26</t>
  </si>
  <si>
    <t>Employee_388</t>
  </si>
  <si>
    <t>2022-05-03</t>
  </si>
  <si>
    <t>Employee_389</t>
  </si>
  <si>
    <t>Employee_390</t>
  </si>
  <si>
    <t>2025-03-23</t>
  </si>
  <si>
    <t>Employee_391</t>
  </si>
  <si>
    <t>2020-09-03</t>
  </si>
  <si>
    <t>Employee_392</t>
  </si>
  <si>
    <t>Employee_393</t>
  </si>
  <si>
    <t>2019-01-10</t>
  </si>
  <si>
    <t>Employee_394</t>
  </si>
  <si>
    <t>2021-02-04</t>
  </si>
  <si>
    <t>Employee_395</t>
  </si>
  <si>
    <t>Employee_396</t>
  </si>
  <si>
    <t>2025-06-08</t>
  </si>
  <si>
    <t>Employee_397</t>
  </si>
  <si>
    <t>Employee_398</t>
  </si>
  <si>
    <t>2026-06-03</t>
  </si>
  <si>
    <t>Employee_399</t>
  </si>
  <si>
    <t>2021-09-23</t>
  </si>
  <si>
    <t>Employee_400</t>
  </si>
  <si>
    <t>2024-07-11</t>
  </si>
  <si>
    <t>Employee_401</t>
  </si>
  <si>
    <t>2023-12-17</t>
  </si>
  <si>
    <t>Employee_402</t>
  </si>
  <si>
    <t>2026-04-02</t>
  </si>
  <si>
    <t>Employee_403</t>
  </si>
  <si>
    <t>2020-09-11</t>
  </si>
  <si>
    <t>Employee_404</t>
  </si>
  <si>
    <t>2023-01-07</t>
  </si>
  <si>
    <t>Employee_405</t>
  </si>
  <si>
    <t>2026-05-08</t>
  </si>
  <si>
    <t>Employee_406</t>
  </si>
  <si>
    <t>2021-06-13</t>
  </si>
  <si>
    <t>Employee_407</t>
  </si>
  <si>
    <t>2022-01-09</t>
  </si>
  <si>
    <t>Employee_408</t>
  </si>
  <si>
    <t>2021-05-14</t>
  </si>
  <si>
    <t>Employee_409</t>
  </si>
  <si>
    <t>2019-12-19</t>
  </si>
  <si>
    <t>Employee_410</t>
  </si>
  <si>
    <t>2019-11-25</t>
  </si>
  <si>
    <t>Employee_411</t>
  </si>
  <si>
    <t>2025-06-18</t>
  </si>
  <si>
    <t>Employee_412</t>
  </si>
  <si>
    <t>2021-11-16</t>
  </si>
  <si>
    <t>Employee_413</t>
  </si>
  <si>
    <t>2023-02-24</t>
  </si>
  <si>
    <t>Employee_414</t>
  </si>
  <si>
    <t>2026-05-06</t>
  </si>
  <si>
    <t>Employee_415</t>
  </si>
  <si>
    <t>2025-04-30</t>
  </si>
  <si>
    <t>Employee_416</t>
  </si>
  <si>
    <t>2020-08-05</t>
  </si>
  <si>
    <t>Employee_417</t>
  </si>
  <si>
    <t>2022-04-05</t>
  </si>
  <si>
    <t>Employee_418</t>
  </si>
  <si>
    <t>2020-03-11</t>
  </si>
  <si>
    <t>Employee_419</t>
  </si>
  <si>
    <t>Employee_420</t>
  </si>
  <si>
    <t>Employee_421</t>
  </si>
  <si>
    <t>2019-02-25</t>
  </si>
  <si>
    <t>Employee_422</t>
  </si>
  <si>
    <t>2021-01-20</t>
  </si>
  <si>
    <t>Employee_423</t>
  </si>
  <si>
    <t>2026-08-08</t>
  </si>
  <si>
    <t>Employee_424</t>
  </si>
  <si>
    <t>2024-09-04</t>
  </si>
  <si>
    <t>Employee_425</t>
  </si>
  <si>
    <t>Employee_426</t>
  </si>
  <si>
    <t>2022-11-24</t>
  </si>
  <si>
    <t>Employee_427</t>
  </si>
  <si>
    <t>2025-08-20</t>
  </si>
  <si>
    <t>Employee_428</t>
  </si>
  <si>
    <t>2021-04-25</t>
  </si>
  <si>
    <t>Employee_429</t>
  </si>
  <si>
    <t>Employee_430</t>
  </si>
  <si>
    <t>2020-04-24</t>
  </si>
  <si>
    <t>Employee_431</t>
  </si>
  <si>
    <t>2020-12-07</t>
  </si>
  <si>
    <t>Employee_432</t>
  </si>
  <si>
    <t>2024-02-03</t>
  </si>
  <si>
    <t>Employee_433</t>
  </si>
  <si>
    <t>2023-04-19</t>
  </si>
  <si>
    <t>Employee_434</t>
  </si>
  <si>
    <t>2025-09-21</t>
  </si>
  <si>
    <t>Employee_435</t>
  </si>
  <si>
    <t>Employee_436</t>
  </si>
  <si>
    <t>2023-03-09</t>
  </si>
  <si>
    <t>Employee_437</t>
  </si>
  <si>
    <t>2020-04-09</t>
  </si>
  <si>
    <t>Employee_438</t>
  </si>
  <si>
    <t>2022-02-24</t>
  </si>
  <si>
    <t>Employee_439</t>
  </si>
  <si>
    <t>Employee_440</t>
  </si>
  <si>
    <t>2023-05-10</t>
  </si>
  <si>
    <t>Employee_441</t>
  </si>
  <si>
    <t>2020-02-08</t>
  </si>
  <si>
    <t>Employee_442</t>
  </si>
  <si>
    <t>2022-10-02</t>
  </si>
  <si>
    <t>Employee_443</t>
  </si>
  <si>
    <t>Employee_444</t>
  </si>
  <si>
    <t>2020-09-18</t>
  </si>
  <si>
    <t>Employee_445</t>
  </si>
  <si>
    <t>Employee_446</t>
  </si>
  <si>
    <t>2024-11-03</t>
  </si>
  <si>
    <t>Employee_447</t>
  </si>
  <si>
    <t>Employee_448</t>
  </si>
  <si>
    <t>2023-03-29</t>
  </si>
  <si>
    <t>Employee_449</t>
  </si>
  <si>
    <t>2019-12-30</t>
  </si>
  <si>
    <t>Employee_450</t>
  </si>
  <si>
    <t>2024-09-27</t>
  </si>
  <si>
    <t>Employee_451</t>
  </si>
  <si>
    <t>2025-05-21</t>
  </si>
  <si>
    <t>Employee_452</t>
  </si>
  <si>
    <t>2020-04-05</t>
  </si>
  <si>
    <t>Employee_453</t>
  </si>
  <si>
    <t>2022-12-15</t>
  </si>
  <si>
    <t>Employee_454</t>
  </si>
  <si>
    <t>2021-04-19</t>
  </si>
  <si>
    <t>Employee_455</t>
  </si>
  <si>
    <t>2021-02-08</t>
  </si>
  <si>
    <t>Employee_456</t>
  </si>
  <si>
    <t>2024-03-22</t>
  </si>
  <si>
    <t>Employee_457</t>
  </si>
  <si>
    <t>2020-04-21</t>
  </si>
  <si>
    <t>Employee_458</t>
  </si>
  <si>
    <t>2024-09-09</t>
  </si>
  <si>
    <t>Employee_459</t>
  </si>
  <si>
    <t>2019-10-14</t>
  </si>
  <si>
    <t>Employee_460</t>
  </si>
  <si>
    <t>2024-11-08</t>
  </si>
  <si>
    <t>Employee_461</t>
  </si>
  <si>
    <t>2022-09-25</t>
  </si>
  <si>
    <t>Employee_462</t>
  </si>
  <si>
    <t>2026-05-12</t>
  </si>
  <si>
    <t>Employee_463</t>
  </si>
  <si>
    <t>2022-12-08</t>
  </si>
  <si>
    <t>Employee_464</t>
  </si>
  <si>
    <t>2023-05-18</t>
  </si>
  <si>
    <t>Employee_465</t>
  </si>
  <si>
    <t>2022-03-18</t>
  </si>
  <si>
    <t>Employee_466</t>
  </si>
  <si>
    <t>2024-10-16</t>
  </si>
  <si>
    <t>Employee_467</t>
  </si>
  <si>
    <t>2024-10-05</t>
  </si>
  <si>
    <t>Employee_468</t>
  </si>
  <si>
    <t>2024-09-25</t>
  </si>
  <si>
    <t>Employee_469</t>
  </si>
  <si>
    <t>2020-12-08</t>
  </si>
  <si>
    <t>Employee_470</t>
  </si>
  <si>
    <t>2024-04-05</t>
  </si>
  <si>
    <t>Employee_471</t>
  </si>
  <si>
    <t>2025-04-12</t>
  </si>
  <si>
    <t>Employee_472</t>
  </si>
  <si>
    <t>2021-03-08</t>
  </si>
  <si>
    <t>Employee_473</t>
  </si>
  <si>
    <t>2023-01-20</t>
  </si>
  <si>
    <t>Employee_474</t>
  </si>
  <si>
    <t>2019-07-02</t>
  </si>
  <si>
    <t>Employee_475</t>
  </si>
  <si>
    <t>2024-07-07</t>
  </si>
  <si>
    <t>Employee_476</t>
  </si>
  <si>
    <t>2025-03-13</t>
  </si>
  <si>
    <t>Employee_477</t>
  </si>
  <si>
    <t>2020-06-05</t>
  </si>
  <si>
    <t>Employee_478</t>
  </si>
  <si>
    <t>2022-03-20</t>
  </si>
  <si>
    <t>Employee_479</t>
  </si>
  <si>
    <t>2024-10-14</t>
  </si>
  <si>
    <t>Employee_480</t>
  </si>
  <si>
    <t>2019-01-08</t>
  </si>
  <si>
    <t>Employee_481</t>
  </si>
  <si>
    <t>2022-02-17</t>
  </si>
  <si>
    <t>Employee_482</t>
  </si>
  <si>
    <t>Employee_483</t>
  </si>
  <si>
    <t>Employee_484</t>
  </si>
  <si>
    <t>2020-03-07</t>
  </si>
  <si>
    <t>Employee_485</t>
  </si>
  <si>
    <t>Employee_486</t>
  </si>
  <si>
    <t>2022-04-06</t>
  </si>
  <si>
    <t>Employee_487</t>
  </si>
  <si>
    <t>2025-08-17</t>
  </si>
  <si>
    <t>Employee_488</t>
  </si>
  <si>
    <t>2025-03-06</t>
  </si>
  <si>
    <t>Employee_489</t>
  </si>
  <si>
    <t>2020-04-13</t>
  </si>
  <si>
    <t>Employee_490</t>
  </si>
  <si>
    <t>2024-06-29</t>
  </si>
  <si>
    <t>Employee_491</t>
  </si>
  <si>
    <t>2021-08-30</t>
  </si>
  <si>
    <t>Employee_492</t>
  </si>
  <si>
    <t>2022-07-19</t>
  </si>
  <si>
    <t>Employee_493</t>
  </si>
  <si>
    <t>2023-01-21</t>
  </si>
  <si>
    <t>Employee_494</t>
  </si>
  <si>
    <t>2024-04-20</t>
  </si>
  <si>
    <t>Employee_495</t>
  </si>
  <si>
    <t>2022-06-10</t>
  </si>
  <si>
    <t>Employee_496</t>
  </si>
  <si>
    <t>Employee_497</t>
  </si>
  <si>
    <t>2024-03-31</t>
  </si>
  <si>
    <t>Employee_498</t>
  </si>
  <si>
    <t>2025-12-15</t>
  </si>
  <si>
    <t>Employee_499</t>
  </si>
  <si>
    <t>2025-09-13</t>
  </si>
  <si>
    <t>Employee_500</t>
  </si>
  <si>
    <t>2021-11-19</t>
  </si>
  <si>
    <t>Employee_501</t>
  </si>
  <si>
    <t>Employee_502</t>
  </si>
  <si>
    <t>2019-11-07</t>
  </si>
  <si>
    <t>Employee_503</t>
  </si>
  <si>
    <t>Employee_504</t>
  </si>
  <si>
    <t>Employee_505</t>
  </si>
  <si>
    <t>Employee_506</t>
  </si>
  <si>
    <t>2025-11-28</t>
  </si>
  <si>
    <t>Employee_507</t>
  </si>
  <si>
    <t>2020-03-27</t>
  </si>
  <si>
    <t>Employee_508</t>
  </si>
  <si>
    <t>2019-08-28</t>
  </si>
  <si>
    <t>Employee_509</t>
  </si>
  <si>
    <t>2023-07-04</t>
  </si>
  <si>
    <t>Employee_510</t>
  </si>
  <si>
    <t>2025-04-10</t>
  </si>
  <si>
    <t>Employee_511</t>
  </si>
  <si>
    <t>2025-07-24</t>
  </si>
  <si>
    <t>Employee_512</t>
  </si>
  <si>
    <t>2024-04-29</t>
  </si>
  <si>
    <t>Employee_513</t>
  </si>
  <si>
    <t>2022-09-17</t>
  </si>
  <si>
    <t>Employee_514</t>
  </si>
  <si>
    <t>2023-08-09</t>
  </si>
  <si>
    <t>Employee_515</t>
  </si>
  <si>
    <t>2021-02-27</t>
  </si>
  <si>
    <t>Employee_516</t>
  </si>
  <si>
    <t>2021-07-12</t>
  </si>
  <si>
    <t>Employee_517</t>
  </si>
  <si>
    <t>2024-09-28</t>
  </si>
  <si>
    <t>Employee_518</t>
  </si>
  <si>
    <t>Employee_519</t>
  </si>
  <si>
    <t>2023-02-12</t>
  </si>
  <si>
    <t>Employee_520</t>
  </si>
  <si>
    <t>2022-09-12</t>
  </si>
  <si>
    <t>Employee_521</t>
  </si>
  <si>
    <t>2026-01-28</t>
  </si>
  <si>
    <t>Employee_522</t>
  </si>
  <si>
    <t>Employee_523</t>
  </si>
  <si>
    <t>2020-10-15</t>
  </si>
  <si>
    <t>Employee_524</t>
  </si>
  <si>
    <t>2019-04-07</t>
  </si>
  <si>
    <t>Employee_525</t>
  </si>
  <si>
    <t>2020-08-25</t>
  </si>
  <si>
    <t>Employee_526</t>
  </si>
  <si>
    <t>2019-10-31</t>
  </si>
  <si>
    <t>Employee_527</t>
  </si>
  <si>
    <t>2024-12-23</t>
  </si>
  <si>
    <t>Employee_528</t>
  </si>
  <si>
    <t>2020-03-09</t>
  </si>
  <si>
    <t>Employee_529</t>
  </si>
  <si>
    <t>Employee_530</t>
  </si>
  <si>
    <t>2023-12-25</t>
  </si>
  <si>
    <t>Employee_531</t>
  </si>
  <si>
    <t>2024-08-02</t>
  </si>
  <si>
    <t>Employee_532</t>
  </si>
  <si>
    <t>Employee_533</t>
  </si>
  <si>
    <t>2024-09-08</t>
  </si>
  <si>
    <t>Employee_534</t>
  </si>
  <si>
    <t>2026-08-31</t>
  </si>
  <si>
    <t>Employee_535</t>
  </si>
  <si>
    <t>2022-08-23</t>
  </si>
  <si>
    <t>Employee_536</t>
  </si>
  <si>
    <t>2024-10-01</t>
  </si>
  <si>
    <t>Employee_537</t>
  </si>
  <si>
    <t>2019-10-18</t>
  </si>
  <si>
    <t>Employee_538</t>
  </si>
  <si>
    <t>2025-04-29</t>
  </si>
  <si>
    <t>Employee_539</t>
  </si>
  <si>
    <t>Employee_540</t>
  </si>
  <si>
    <t>2025-04-26</t>
  </si>
  <si>
    <t>Employee_541</t>
  </si>
  <si>
    <t>2019-02-04</t>
  </si>
  <si>
    <t>Employee_542</t>
  </si>
  <si>
    <t>2020-01-15</t>
  </si>
  <si>
    <t>Employee_543</t>
  </si>
  <si>
    <t>2021-05-12</t>
  </si>
  <si>
    <t>Employee_544</t>
  </si>
  <si>
    <t>2022-11-12</t>
  </si>
  <si>
    <t>Employee_545</t>
  </si>
  <si>
    <t>2020-07-05</t>
  </si>
  <si>
    <t>Employee_546</t>
  </si>
  <si>
    <t>2026-07-25</t>
  </si>
  <si>
    <t>Employee_547</t>
  </si>
  <si>
    <t>2025-10-27</t>
  </si>
  <si>
    <t>Employee_548</t>
  </si>
  <si>
    <t>2022-05-02</t>
  </si>
  <si>
    <t>Employee_549</t>
  </si>
  <si>
    <t>2021-04-02</t>
  </si>
  <si>
    <t>Employee_550</t>
  </si>
  <si>
    <t>2025-08-06</t>
  </si>
  <si>
    <t>Employee_551</t>
  </si>
  <si>
    <t>Employee_552</t>
  </si>
  <si>
    <t>Employee_553</t>
  </si>
  <si>
    <t>2022-11-10</t>
  </si>
  <si>
    <t>Employee_554</t>
  </si>
  <si>
    <t>2021-01-29</t>
  </si>
  <si>
    <t>Employee_555</t>
  </si>
  <si>
    <t>2020-09-05</t>
  </si>
  <si>
    <t>Employee_556</t>
  </si>
  <si>
    <t>2026-06-20</t>
  </si>
  <si>
    <t>Employee_557</t>
  </si>
  <si>
    <t>2021-04-11</t>
  </si>
  <si>
    <t>Employee_558</t>
  </si>
  <si>
    <t>2024-11-22</t>
  </si>
  <si>
    <t>Employee_559</t>
  </si>
  <si>
    <t>2024-03-25</t>
  </si>
  <si>
    <t>Employee_560</t>
  </si>
  <si>
    <t>2022-08-28</t>
  </si>
  <si>
    <t>Employee_561</t>
  </si>
  <si>
    <t>Employee_562</t>
  </si>
  <si>
    <t>2024-05-12</t>
  </si>
  <si>
    <t>Employee_563</t>
  </si>
  <si>
    <t>2019-07-01</t>
  </si>
  <si>
    <t>Employee_564</t>
  </si>
  <si>
    <t>2022-06-24</t>
  </si>
  <si>
    <t>Employee_565</t>
  </si>
  <si>
    <t>Employee_566</t>
  </si>
  <si>
    <t>2024-10-07</t>
  </si>
  <si>
    <t>Employee_567</t>
  </si>
  <si>
    <t>2025-12-03</t>
  </si>
  <si>
    <t>Employee_568</t>
  </si>
  <si>
    <t>Employee_569</t>
  </si>
  <si>
    <t>2022-04-22</t>
  </si>
  <si>
    <t>Employee_570</t>
  </si>
  <si>
    <t>2023-03-14</t>
  </si>
  <si>
    <t>Employee_571</t>
  </si>
  <si>
    <t>2023-09-10</t>
  </si>
  <si>
    <t>Employee_572</t>
  </si>
  <si>
    <t>2025-11-24</t>
  </si>
  <si>
    <t>Employee_573</t>
  </si>
  <si>
    <t>2023-11-22</t>
  </si>
  <si>
    <t>Employee_574</t>
  </si>
  <si>
    <t>2022-12-23</t>
  </si>
  <si>
    <t>Employee_575</t>
  </si>
  <si>
    <t>2024-02-01</t>
  </si>
  <si>
    <t>Employee_576</t>
  </si>
  <si>
    <t>2020-11-20</t>
  </si>
  <si>
    <t>Employee_577</t>
  </si>
  <si>
    <t>Employee_578</t>
  </si>
  <si>
    <t>2026-06-09</t>
  </si>
  <si>
    <t>Employee_579</t>
  </si>
  <si>
    <t>Employee_580</t>
  </si>
  <si>
    <t>2022-06-07</t>
  </si>
  <si>
    <t>Employee_581</t>
  </si>
  <si>
    <t>Employee_582</t>
  </si>
  <si>
    <t>Employee_583</t>
  </si>
  <si>
    <t>Employee_584</t>
  </si>
  <si>
    <t>2026-03-26</t>
  </si>
  <si>
    <t>Employee_585</t>
  </si>
  <si>
    <t>2020-08-24</t>
  </si>
  <si>
    <t>Employee_586</t>
  </si>
  <si>
    <t>Employee_587</t>
  </si>
  <si>
    <t>2020-11-19</t>
  </si>
  <si>
    <t>Employee_588</t>
  </si>
  <si>
    <t>2022-09-06</t>
  </si>
  <si>
    <t>Employee_589</t>
  </si>
  <si>
    <t>2019-07-22</t>
  </si>
  <si>
    <t>Employee_590</t>
  </si>
  <si>
    <t>2022-04-03</t>
  </si>
  <si>
    <t>Employee_591</t>
  </si>
  <si>
    <t>2026-03-04</t>
  </si>
  <si>
    <t>Employee_592</t>
  </si>
  <si>
    <t>2023-07-21</t>
  </si>
  <si>
    <t>Employee_593</t>
  </si>
  <si>
    <t>2022-06-09</t>
  </si>
  <si>
    <t>Employee_594</t>
  </si>
  <si>
    <t>Employee_595</t>
  </si>
  <si>
    <t>2019-03-11</t>
  </si>
  <si>
    <t>Employee_596</t>
  </si>
  <si>
    <t>2024-05-09</t>
  </si>
  <si>
    <t>Employee_597</t>
  </si>
  <si>
    <t>2020-12-28</t>
  </si>
  <si>
    <t>Employee_598</t>
  </si>
  <si>
    <t>2021-05-19</t>
  </si>
  <si>
    <t>Employee_599</t>
  </si>
  <si>
    <t>2025-04-05</t>
  </si>
  <si>
    <t>Employee_600</t>
  </si>
  <si>
    <t>2024-11-11</t>
  </si>
  <si>
    <t>Employee_601</t>
  </si>
  <si>
    <t>2021-01-18</t>
  </si>
  <si>
    <t>Employee_602</t>
  </si>
  <si>
    <t>2026-04-23</t>
  </si>
  <si>
    <t>Employee_603</t>
  </si>
  <si>
    <t>Employee_604</t>
  </si>
  <si>
    <t>2023-06-09</t>
  </si>
  <si>
    <t>Employee_605</t>
  </si>
  <si>
    <t>2022-11-27</t>
  </si>
  <si>
    <t>Employee_606</t>
  </si>
  <si>
    <t>2023-10-15</t>
  </si>
  <si>
    <t>Employee_607</t>
  </si>
  <si>
    <t>Employee_608</t>
  </si>
  <si>
    <t>2026-03-29</t>
  </si>
  <si>
    <t>Employee_609</t>
  </si>
  <si>
    <t>2019-09-24</t>
  </si>
  <si>
    <t>Employee_610</t>
  </si>
  <si>
    <t>2024-07-08</t>
  </si>
  <si>
    <t>Employee_611</t>
  </si>
  <si>
    <t>2020-11-15</t>
  </si>
  <si>
    <t>Employee_612</t>
  </si>
  <si>
    <t>2022-06-27</t>
  </si>
  <si>
    <t>Employee_613</t>
  </si>
  <si>
    <t>2022-03-05</t>
  </si>
  <si>
    <t>Employee_614</t>
  </si>
  <si>
    <t>2020-03-18</t>
  </si>
  <si>
    <t>Employee_615</t>
  </si>
  <si>
    <t>Employee_616</t>
  </si>
  <si>
    <t>2024-06-17</t>
  </si>
  <si>
    <t>Employee_617</t>
  </si>
  <si>
    <t>2025-03-28</t>
  </si>
  <si>
    <t>Employee_618</t>
  </si>
  <si>
    <t>2023-02-10</t>
  </si>
  <si>
    <t>Employee_619</t>
  </si>
  <si>
    <t>Employee_620</t>
  </si>
  <si>
    <t>2019-10-01</t>
  </si>
  <si>
    <t>Employee_621</t>
  </si>
  <si>
    <t>Employee_622</t>
  </si>
  <si>
    <t>2020-11-23</t>
  </si>
  <si>
    <t>Employee_623</t>
  </si>
  <si>
    <t>2025-03-17</t>
  </si>
  <si>
    <t>Employee_624</t>
  </si>
  <si>
    <t>2026-01-29</t>
  </si>
  <si>
    <t>Employee_625</t>
  </si>
  <si>
    <t>2025-04-21</t>
  </si>
  <si>
    <t>Employee_626</t>
  </si>
  <si>
    <t>2023-09-02</t>
  </si>
  <si>
    <t>Employee_627</t>
  </si>
  <si>
    <t>2019-05-27</t>
  </si>
  <si>
    <t>Employee_628</t>
  </si>
  <si>
    <t>2022-10-26</t>
  </si>
  <si>
    <t>Employee_629</t>
  </si>
  <si>
    <t>2019-12-23</t>
  </si>
  <si>
    <t>Employee_630</t>
  </si>
  <si>
    <t>2019-09-03</t>
  </si>
  <si>
    <t>Employee_631</t>
  </si>
  <si>
    <t>2025-12-25</t>
  </si>
  <si>
    <t>Employee_632</t>
  </si>
  <si>
    <t>2026-06-24</t>
  </si>
  <si>
    <t>Employee_633</t>
  </si>
  <si>
    <t>2024-05-01</t>
  </si>
  <si>
    <t>Employee_634</t>
  </si>
  <si>
    <t>2024-05-27</t>
  </si>
  <si>
    <t>Employee_635</t>
  </si>
  <si>
    <t>Employee_636</t>
  </si>
  <si>
    <t>2020-08-30</t>
  </si>
  <si>
    <t>Employee_637</t>
  </si>
  <si>
    <t>2026-05-16</t>
  </si>
  <si>
    <t>Employee_638</t>
  </si>
  <si>
    <t>Employee_639</t>
  </si>
  <si>
    <t>2024-09-14</t>
  </si>
  <si>
    <t>Employee_640</t>
  </si>
  <si>
    <t>2019-07-29</t>
  </si>
  <si>
    <t>Employee_641</t>
  </si>
  <si>
    <t>2022-09-19</t>
  </si>
  <si>
    <t>Employee_642</t>
  </si>
  <si>
    <t>2020-12-22</t>
  </si>
  <si>
    <t>Employee_643</t>
  </si>
  <si>
    <t>2023-08-21</t>
  </si>
  <si>
    <t>Employee_644</t>
  </si>
  <si>
    <t>2020-04-11</t>
  </si>
  <si>
    <t>Employee_645</t>
  </si>
  <si>
    <t>2025-08-24</t>
  </si>
  <si>
    <t>Employee_646</t>
  </si>
  <si>
    <t>2021-03-30</t>
  </si>
  <si>
    <t>Employee_647</t>
  </si>
  <si>
    <t>2026-03-10</t>
  </si>
  <si>
    <t>Employee_648</t>
  </si>
  <si>
    <t>2022-10-30</t>
  </si>
  <si>
    <t>Employee_649</t>
  </si>
  <si>
    <t>Employee_650</t>
  </si>
  <si>
    <t>2024-11-27</t>
  </si>
  <si>
    <t>Employee_651</t>
  </si>
  <si>
    <t>2020-01-09</t>
  </si>
  <si>
    <t>Employee_652</t>
  </si>
  <si>
    <t>2019-01-24</t>
  </si>
  <si>
    <t>Employee_653</t>
  </si>
  <si>
    <t>2019-06-14</t>
  </si>
  <si>
    <t>Employee_654</t>
  </si>
  <si>
    <t>Employee_655</t>
  </si>
  <si>
    <t>Employee_656</t>
  </si>
  <si>
    <t>Employee_657</t>
  </si>
  <si>
    <t>2026-06-26</t>
  </si>
  <si>
    <t>Employee_658</t>
  </si>
  <si>
    <t>2024-03-07</t>
  </si>
  <si>
    <t>Employee_659</t>
  </si>
  <si>
    <t>2019-01-29</t>
  </si>
  <si>
    <t>Employee_660</t>
  </si>
  <si>
    <t>Employee_661</t>
  </si>
  <si>
    <t>Employee_662</t>
  </si>
  <si>
    <t>2023-04-26</t>
  </si>
  <si>
    <t>Employee_663</t>
  </si>
  <si>
    <t>Employee_664</t>
  </si>
  <si>
    <t>2019-06-04</t>
  </si>
  <si>
    <t>Employee_665</t>
  </si>
  <si>
    <t>Employee_666</t>
  </si>
  <si>
    <t>2021-11-20</t>
  </si>
  <si>
    <t>Employee_667</t>
  </si>
  <si>
    <t>2026-04-22</t>
  </si>
  <si>
    <t>Employee_668</t>
  </si>
  <si>
    <t>2026-08-06</t>
  </si>
  <si>
    <t>Employee_669</t>
  </si>
  <si>
    <t>2024-12-20</t>
  </si>
  <si>
    <t>Employee_670</t>
  </si>
  <si>
    <t>2026-02-07</t>
  </si>
  <si>
    <t>Employee_671</t>
  </si>
  <si>
    <t>2022-11-13</t>
  </si>
  <si>
    <t>Employee_672</t>
  </si>
  <si>
    <t>2025-01-23</t>
  </si>
  <si>
    <t>Employee_673</t>
  </si>
  <si>
    <t>Employee_674</t>
  </si>
  <si>
    <t>2019-06-25</t>
  </si>
  <si>
    <t>Employee_675</t>
  </si>
  <si>
    <t>2023-11-17</t>
  </si>
  <si>
    <t>Employee_676</t>
  </si>
  <si>
    <t>2023-08-01</t>
  </si>
  <si>
    <t>Employee_677</t>
  </si>
  <si>
    <t>2020-12-23</t>
  </si>
  <si>
    <t>Employee_678</t>
  </si>
  <si>
    <t>2023-03-11</t>
  </si>
  <si>
    <t>Employee_679</t>
  </si>
  <si>
    <t>2026-04-11</t>
  </si>
  <si>
    <t>Employee_680</t>
  </si>
  <si>
    <t>2022-04-26</t>
  </si>
  <si>
    <t>Employee_681</t>
  </si>
  <si>
    <t>2021-10-19</t>
  </si>
  <si>
    <t>Employee_682</t>
  </si>
  <si>
    <t>2022-02-23</t>
  </si>
  <si>
    <t>Employee_683</t>
  </si>
  <si>
    <t>Employee_684</t>
  </si>
  <si>
    <t>Employee_685</t>
  </si>
  <si>
    <t>2025-05-09</t>
  </si>
  <si>
    <t>Employee_686</t>
  </si>
  <si>
    <t>2023-09-29</t>
  </si>
  <si>
    <t>Employee_687</t>
  </si>
  <si>
    <t>2020-09-07</t>
  </si>
  <si>
    <t>Employee_688</t>
  </si>
  <si>
    <t>Employee_689</t>
  </si>
  <si>
    <t>Employee_690</t>
  </si>
  <si>
    <t>2023-10-10</t>
  </si>
  <si>
    <t>Employee_691</t>
  </si>
  <si>
    <t>2022-02-22</t>
  </si>
  <si>
    <t>Employee_692</t>
  </si>
  <si>
    <t>2024-05-15</t>
  </si>
  <si>
    <t>Employee_693</t>
  </si>
  <si>
    <t>Employee_694</t>
  </si>
  <si>
    <t>2019-10-21</t>
  </si>
  <si>
    <t>Employee_695</t>
  </si>
  <si>
    <t>2025-07-03</t>
  </si>
  <si>
    <t>Employee_696</t>
  </si>
  <si>
    <t>2025-08-10</t>
  </si>
  <si>
    <t>Employee_697</t>
  </si>
  <si>
    <t>2022-07-14</t>
  </si>
  <si>
    <t>Employee_698</t>
  </si>
  <si>
    <t>2019-05-15</t>
  </si>
  <si>
    <t>Employee_699</t>
  </si>
  <si>
    <t>2021-11-02</t>
  </si>
  <si>
    <t>Employee_700</t>
  </si>
  <si>
    <t>2021-02-15</t>
  </si>
  <si>
    <t>Employee_701</t>
  </si>
  <si>
    <t>Employee_702</t>
  </si>
  <si>
    <t>2023-09-24</t>
  </si>
  <si>
    <t>Employee_703</t>
  </si>
  <si>
    <t>2026-04-01</t>
  </si>
  <si>
    <t>Employee_704</t>
  </si>
  <si>
    <t>2025-12-30</t>
  </si>
  <si>
    <t>Employee_705</t>
  </si>
  <si>
    <t>2020-08-13</t>
  </si>
  <si>
    <t>Employee_706</t>
  </si>
  <si>
    <t>2024-01-29</t>
  </si>
  <si>
    <t>Employee_707</t>
  </si>
  <si>
    <t>2023-08-29</t>
  </si>
  <si>
    <t>Employee_708</t>
  </si>
  <si>
    <t>Employee_709</t>
  </si>
  <si>
    <t>2022-07-06</t>
  </si>
  <si>
    <t>Employee_710</t>
  </si>
  <si>
    <t>Employee_711</t>
  </si>
  <si>
    <t>2021-02-03</t>
  </si>
  <si>
    <t>Employee_712</t>
  </si>
  <si>
    <t>Employee_713</t>
  </si>
  <si>
    <t>2021-06-20</t>
  </si>
  <si>
    <t>Employee_714</t>
  </si>
  <si>
    <t>2024-11-15</t>
  </si>
  <si>
    <t>Employee_715</t>
  </si>
  <si>
    <t>Employee_716</t>
  </si>
  <si>
    <t>2019-10-03</t>
  </si>
  <si>
    <t>Employee_717</t>
  </si>
  <si>
    <t>2026-05-24</t>
  </si>
  <si>
    <t>Employee_718</t>
  </si>
  <si>
    <t>2020-07-16</t>
  </si>
  <si>
    <t>Employee_719</t>
  </si>
  <si>
    <t>Employee_720</t>
  </si>
  <si>
    <t>2022-07-18</t>
  </si>
  <si>
    <t>Employee_721</t>
  </si>
  <si>
    <t>2025-05-01</t>
  </si>
  <si>
    <t>Employee_722</t>
  </si>
  <si>
    <t>2022-11-18</t>
  </si>
  <si>
    <t>Employee_723</t>
  </si>
  <si>
    <t>2022-07-26</t>
  </si>
  <si>
    <t>Employee_724</t>
  </si>
  <si>
    <t>2022-01-30</t>
  </si>
  <si>
    <t>Employee_725</t>
  </si>
  <si>
    <t>2025-03-04</t>
  </si>
  <si>
    <t>Employee_726</t>
  </si>
  <si>
    <t>2020-11-25</t>
  </si>
  <si>
    <t>Employee_727</t>
  </si>
  <si>
    <t>2023-02-04</t>
  </si>
  <si>
    <t>Employee_728</t>
  </si>
  <si>
    <t>2021-05-10</t>
  </si>
  <si>
    <t>Employee_729</t>
  </si>
  <si>
    <t>2021-03-12</t>
  </si>
  <si>
    <t>Employee_730</t>
  </si>
  <si>
    <t>2020-03-22</t>
  </si>
  <si>
    <t>Employee_731</t>
  </si>
  <si>
    <t>2019-08-10</t>
  </si>
  <si>
    <t>Employee_732</t>
  </si>
  <si>
    <t>Employee_733</t>
  </si>
  <si>
    <t>Employee_734</t>
  </si>
  <si>
    <t>2022-10-16</t>
  </si>
  <si>
    <t>Employee_735</t>
  </si>
  <si>
    <t>2023-06-29</t>
  </si>
  <si>
    <t>Employee_736</t>
  </si>
  <si>
    <t>2021-10-01</t>
  </si>
  <si>
    <t>Employee_737</t>
  </si>
  <si>
    <t>2023-10-08</t>
  </si>
  <si>
    <t>Employee_738</t>
  </si>
  <si>
    <t>2019-12-26</t>
  </si>
  <si>
    <t>Employee_739</t>
  </si>
  <si>
    <t>2025-04-18</t>
  </si>
  <si>
    <t>Employee_740</t>
  </si>
  <si>
    <t>2023-11-13</t>
  </si>
  <si>
    <t>Employee_741</t>
  </si>
  <si>
    <t>2022-09-07</t>
  </si>
  <si>
    <t>Employee_742</t>
  </si>
  <si>
    <t>2026-04-25</t>
  </si>
  <si>
    <t>Employee_743</t>
  </si>
  <si>
    <t>2026-05-01</t>
  </si>
  <si>
    <t>Employee_744</t>
  </si>
  <si>
    <t>Employee_745</t>
  </si>
  <si>
    <t>2026-05-17</t>
  </si>
  <si>
    <t>Employee_746</t>
  </si>
  <si>
    <t>2022-03-07</t>
  </si>
  <si>
    <t>Employee_747</t>
  </si>
  <si>
    <t>2026-07-11</t>
  </si>
  <si>
    <t>Employee_748</t>
  </si>
  <si>
    <t>Employee_749</t>
  </si>
  <si>
    <t>2022-07-30</t>
  </si>
  <si>
    <t>Employee_750</t>
  </si>
  <si>
    <t>2022-12-16</t>
  </si>
  <si>
    <t>Employee_751</t>
  </si>
  <si>
    <t>Employee_752</t>
  </si>
  <si>
    <t>Employee_753</t>
  </si>
  <si>
    <t>2026-06-21</t>
  </si>
  <si>
    <t>Employee_754</t>
  </si>
  <si>
    <t>2021-08-11</t>
  </si>
  <si>
    <t>Employee_755</t>
  </si>
  <si>
    <t>2020-08-07</t>
  </si>
  <si>
    <t>Employee_756</t>
  </si>
  <si>
    <t>2021-11-24</t>
  </si>
  <si>
    <t>Employee_757</t>
  </si>
  <si>
    <t>Employee_758</t>
  </si>
  <si>
    <t>2024-12-05</t>
  </si>
  <si>
    <t>Employee_759</t>
  </si>
  <si>
    <t>2024-04-07</t>
  </si>
  <si>
    <t>Employee_760</t>
  </si>
  <si>
    <t>2019-05-22</t>
  </si>
  <si>
    <t>Employee_761</t>
  </si>
  <si>
    <t>2021-11-14</t>
  </si>
  <si>
    <t>Employee_762</t>
  </si>
  <si>
    <t>2021-03-22</t>
  </si>
  <si>
    <t>Employee_763</t>
  </si>
  <si>
    <t>2024-01-07</t>
  </si>
  <si>
    <t>Employee_764</t>
  </si>
  <si>
    <t>2020-02-12</t>
  </si>
  <si>
    <t>Employee_765</t>
  </si>
  <si>
    <t>2020-06-02</t>
  </si>
  <si>
    <t>Employee_766</t>
  </si>
  <si>
    <t>2023-05-03</t>
  </si>
  <si>
    <t>Employee_767</t>
  </si>
  <si>
    <t>2024-01-24</t>
  </si>
  <si>
    <t>Employee_768</t>
  </si>
  <si>
    <t>2024-08-07</t>
  </si>
  <si>
    <t>Employee_769</t>
  </si>
  <si>
    <t>Employee_770</t>
  </si>
  <si>
    <t>2024-12-21</t>
  </si>
  <si>
    <t>Employee_771</t>
  </si>
  <si>
    <t>2025-09-11</t>
  </si>
  <si>
    <t>Employee_772</t>
  </si>
  <si>
    <t>2020-09-30</t>
  </si>
  <si>
    <t>Employee_773</t>
  </si>
  <si>
    <t>2022-03-27</t>
  </si>
  <si>
    <t>Employee_774</t>
  </si>
  <si>
    <t>Employee_775</t>
  </si>
  <si>
    <t>2019-03-09</t>
  </si>
  <si>
    <t>Employee_776</t>
  </si>
  <si>
    <t>2023-07-29</t>
  </si>
  <si>
    <t>Employee_777</t>
  </si>
  <si>
    <t>Employee_778</t>
  </si>
  <si>
    <t>2022-01-27</t>
  </si>
  <si>
    <t>Employee_779</t>
  </si>
  <si>
    <t>2025-08-25</t>
  </si>
  <si>
    <t>Employee_780</t>
  </si>
  <si>
    <t>2023-05-25</t>
  </si>
  <si>
    <t>Employee_781</t>
  </si>
  <si>
    <t>2022-03-06</t>
  </si>
  <si>
    <t>Employee_782</t>
  </si>
  <si>
    <t>2020-02-16</t>
  </si>
  <si>
    <t>Employee_783</t>
  </si>
  <si>
    <t>2024-01-14</t>
  </si>
  <si>
    <t>Employee_784</t>
  </si>
  <si>
    <t>2024-05-02</t>
  </si>
  <si>
    <t>Employee_785</t>
  </si>
  <si>
    <t>2022-11-04</t>
  </si>
  <si>
    <t>Employee_786</t>
  </si>
  <si>
    <t>2025-01-30</t>
  </si>
  <si>
    <t>Employee_787</t>
  </si>
  <si>
    <t>2024-05-10</t>
  </si>
  <si>
    <t>Employee_788</t>
  </si>
  <si>
    <t>2019-03-16</t>
  </si>
  <si>
    <t>Employee_789</t>
  </si>
  <si>
    <t>2025-03-30</t>
  </si>
  <si>
    <t>Employee_790</t>
  </si>
  <si>
    <t>Employee_791</t>
  </si>
  <si>
    <t>2025-03-25</t>
  </si>
  <si>
    <t>Employee_792</t>
  </si>
  <si>
    <t>2025-02-06</t>
  </si>
  <si>
    <t>Employee_793</t>
  </si>
  <si>
    <t>2025-04-14</t>
  </si>
  <si>
    <t>Employee_794</t>
  </si>
  <si>
    <t>2019-08-17</t>
  </si>
  <si>
    <t>Employee_795</t>
  </si>
  <si>
    <t>2024-10-09</t>
  </si>
  <si>
    <t>Employee_796</t>
  </si>
  <si>
    <t>2022-04-30</t>
  </si>
  <si>
    <t>Employee_797</t>
  </si>
  <si>
    <t>2020-01-24</t>
  </si>
  <si>
    <t>Employee_798</t>
  </si>
  <si>
    <t>Employee_799</t>
  </si>
  <si>
    <t>2021-06-10</t>
  </si>
  <si>
    <t>Employee_800</t>
  </si>
  <si>
    <t>2025-05-06</t>
  </si>
  <si>
    <t>Employee_801</t>
  </si>
  <si>
    <t>2024-02-14</t>
  </si>
  <si>
    <t>Employee_802</t>
  </si>
  <si>
    <t>2020-04-15</t>
  </si>
  <si>
    <t>Employee_803</t>
  </si>
  <si>
    <t>Employee_804</t>
  </si>
  <si>
    <t>Employee_805</t>
  </si>
  <si>
    <t>2019-11-17</t>
  </si>
  <si>
    <t>Employee_806</t>
  </si>
  <si>
    <t>Employee_807</t>
  </si>
  <si>
    <t>2022-09-14</t>
  </si>
  <si>
    <t>Employee_808</t>
  </si>
  <si>
    <t>2022-03-25</t>
  </si>
  <si>
    <t>Employee_809</t>
  </si>
  <si>
    <t>2023-01-11</t>
  </si>
  <si>
    <t>Employee_810</t>
  </si>
  <si>
    <t>2022-02-21</t>
  </si>
  <si>
    <t>Employee_811</t>
  </si>
  <si>
    <t>2023-01-22</t>
  </si>
  <si>
    <t>Employee_812</t>
  </si>
  <si>
    <t>2022-08-21</t>
  </si>
  <si>
    <t>Employee_813</t>
  </si>
  <si>
    <t>2022-04-16</t>
  </si>
  <si>
    <t>Employee_814</t>
  </si>
  <si>
    <t>2020-07-12</t>
  </si>
  <si>
    <t>Employee_815</t>
  </si>
  <si>
    <t>2026-01-13</t>
  </si>
  <si>
    <t>Employee_816</t>
  </si>
  <si>
    <t>Employee_817</t>
  </si>
  <si>
    <t>2022-03-21</t>
  </si>
  <si>
    <t>Employee_818</t>
  </si>
  <si>
    <t>Employee_819</t>
  </si>
  <si>
    <t>2025-10-17</t>
  </si>
  <si>
    <t>Employee_820</t>
  </si>
  <si>
    <t>2023-10-21</t>
  </si>
  <si>
    <t>Employee_821</t>
  </si>
  <si>
    <t>2023-01-01</t>
  </si>
  <si>
    <t>Employee_822</t>
  </si>
  <si>
    <t>2019-01-22</t>
  </si>
  <si>
    <t>Employee_823</t>
  </si>
  <si>
    <t>2020-05-09</t>
  </si>
  <si>
    <t>Employee_824</t>
  </si>
  <si>
    <t>2022-05-15</t>
  </si>
  <si>
    <t>Employee_825</t>
  </si>
  <si>
    <t>2024-02-29</t>
  </si>
  <si>
    <t>Employee_826</t>
  </si>
  <si>
    <t>2024-08-05</t>
  </si>
  <si>
    <t>Employee_827</t>
  </si>
  <si>
    <t>Employee_828</t>
  </si>
  <si>
    <t>2022-03-04</t>
  </si>
  <si>
    <t>Employee_829</t>
  </si>
  <si>
    <t>2020-03-15</t>
  </si>
  <si>
    <t>Employee_830</t>
  </si>
  <si>
    <t>Employee_831</t>
  </si>
  <si>
    <t>2026-05-02</t>
  </si>
  <si>
    <t>Employee_832</t>
  </si>
  <si>
    <t>2020-07-11</t>
  </si>
  <si>
    <t>Employee_833</t>
  </si>
  <si>
    <t>2020-08-11</t>
  </si>
  <si>
    <t>Employee_834</t>
  </si>
  <si>
    <t>2024-04-23</t>
  </si>
  <si>
    <t>Employee_835</t>
  </si>
  <si>
    <t>2020-10-30</t>
  </si>
  <si>
    <t>Employee_836</t>
  </si>
  <si>
    <t>2026-01-15</t>
  </si>
  <si>
    <t>Employee_837</t>
  </si>
  <si>
    <t>Employee_838</t>
  </si>
  <si>
    <t>2023-04-01</t>
  </si>
  <si>
    <t>Employee_839</t>
  </si>
  <si>
    <t>2022-12-30</t>
  </si>
  <si>
    <t>Employee_840</t>
  </si>
  <si>
    <t>2025-11-05</t>
  </si>
  <si>
    <t>Employee_841</t>
  </si>
  <si>
    <t>2020-07-30</t>
  </si>
  <si>
    <t>Employee_842</t>
  </si>
  <si>
    <t>Employee_843</t>
  </si>
  <si>
    <t>2021-01-21</t>
  </si>
  <si>
    <t>Employee_844</t>
  </si>
  <si>
    <t>Employee_845</t>
  </si>
  <si>
    <t>2021-02-19</t>
  </si>
  <si>
    <t>Employee_846</t>
  </si>
  <si>
    <t>2023-08-15</t>
  </si>
  <si>
    <t>Employee_847</t>
  </si>
  <si>
    <t>Employee_848</t>
  </si>
  <si>
    <t>Employee_849</t>
  </si>
  <si>
    <t>2020-11-08</t>
  </si>
  <si>
    <t>Employee_850</t>
  </si>
  <si>
    <t>2025-04-23</t>
  </si>
  <si>
    <t>Employee_851</t>
  </si>
  <si>
    <t>2020-11-22</t>
  </si>
  <si>
    <t>Employee_852</t>
  </si>
  <si>
    <t>2022-06-08</t>
  </si>
  <si>
    <t>Employee_853</t>
  </si>
  <si>
    <t>2025-11-16</t>
  </si>
  <si>
    <t>Employee_854</t>
  </si>
  <si>
    <t>2026-01-01</t>
  </si>
  <si>
    <t>Employee_855</t>
  </si>
  <si>
    <t>2025-09-10</t>
  </si>
  <si>
    <t>Employee_856</t>
  </si>
  <si>
    <t>2025-10-12</t>
  </si>
  <si>
    <t>Employee_857</t>
  </si>
  <si>
    <t>2024-12-15</t>
  </si>
  <si>
    <t>Employee_858</t>
  </si>
  <si>
    <t>2023-11-28</t>
  </si>
  <si>
    <t>Employee_859</t>
  </si>
  <si>
    <t>2022-04-29</t>
  </si>
  <si>
    <t>Employee_860</t>
  </si>
  <si>
    <t>2020-10-03</t>
  </si>
  <si>
    <t>Employee_861</t>
  </si>
  <si>
    <t>2025-06-09</t>
  </si>
  <si>
    <t>Employee_862</t>
  </si>
  <si>
    <t>2024-10-30</t>
  </si>
  <si>
    <t>Employee_863</t>
  </si>
  <si>
    <t>2025-11-30</t>
  </si>
  <si>
    <t>Employee_864</t>
  </si>
  <si>
    <t>2025-07-31</t>
  </si>
  <si>
    <t>Employee_865</t>
  </si>
  <si>
    <t>Employee_866</t>
  </si>
  <si>
    <t>Employee_867</t>
  </si>
  <si>
    <t>2020-12-12</t>
  </si>
  <si>
    <t>Employee_868</t>
  </si>
  <si>
    <t>Employee_869</t>
  </si>
  <si>
    <t>Employee_870</t>
  </si>
  <si>
    <t>2026-08-17</t>
  </si>
  <si>
    <t>Employee_871</t>
  </si>
  <si>
    <t>Employee_872</t>
  </si>
  <si>
    <t>Employee_873</t>
  </si>
  <si>
    <t>2019-04-16</t>
  </si>
  <si>
    <t>Employee_874</t>
  </si>
  <si>
    <t>Employee_875</t>
  </si>
  <si>
    <t>2022-05-27</t>
  </si>
  <si>
    <t>Employee_876</t>
  </si>
  <si>
    <t>2021-06-30</t>
  </si>
  <si>
    <t>Employee_877</t>
  </si>
  <si>
    <t>2024-03-15</t>
  </si>
  <si>
    <t>Employee_878</t>
  </si>
  <si>
    <t>Employee_879</t>
  </si>
  <si>
    <t>2022-01-28</t>
  </si>
  <si>
    <t>Employee_880</t>
  </si>
  <si>
    <t>2021-05-31</t>
  </si>
  <si>
    <t>Employee_881</t>
  </si>
  <si>
    <t>2020-07-18</t>
  </si>
  <si>
    <t>Employee_882</t>
  </si>
  <si>
    <t>2023-02-28</t>
  </si>
  <si>
    <t>Employee_883</t>
  </si>
  <si>
    <t>Employee_884</t>
  </si>
  <si>
    <t>Employee_885</t>
  </si>
  <si>
    <t>Employee_886</t>
  </si>
  <si>
    <t>2020-12-10</t>
  </si>
  <si>
    <t>Employee_887</t>
  </si>
  <si>
    <t>2026-05-27</t>
  </si>
  <si>
    <t>Employee_888</t>
  </si>
  <si>
    <t>2019-06-09</t>
  </si>
  <si>
    <t>Employee_889</t>
  </si>
  <si>
    <t>Employee_890</t>
  </si>
  <si>
    <t>2022-11-02</t>
  </si>
  <si>
    <t>Employee_891</t>
  </si>
  <si>
    <t>Employee_892</t>
  </si>
  <si>
    <t>2021-12-04</t>
  </si>
  <si>
    <t>Employee_893</t>
  </si>
  <si>
    <t>Employee_894</t>
  </si>
  <si>
    <t>Employee_895</t>
  </si>
  <si>
    <t>2020-05-10</t>
  </si>
  <si>
    <t>Employee_896</t>
  </si>
  <si>
    <t>2024-04-10</t>
  </si>
  <si>
    <t>Employee_897</t>
  </si>
  <si>
    <t>Employee_898</t>
  </si>
  <si>
    <t>2020-12-30</t>
  </si>
  <si>
    <t>Employee_899</t>
  </si>
  <si>
    <t>Employee_900</t>
  </si>
  <si>
    <t>2024-08-26</t>
  </si>
  <si>
    <t>Employee_901</t>
  </si>
  <si>
    <t>Employee_902</t>
  </si>
  <si>
    <t>2020-08-06</t>
  </si>
  <si>
    <t>Employee_903</t>
  </si>
  <si>
    <t>Employee_904</t>
  </si>
  <si>
    <t>2020-08-02</t>
  </si>
  <si>
    <t>Employee_905</t>
  </si>
  <si>
    <t>2026-01-27</t>
  </si>
  <si>
    <t>Employee_906</t>
  </si>
  <si>
    <t>Employee_907</t>
  </si>
  <si>
    <t>2021-02-06</t>
  </si>
  <si>
    <t>Employee_908</t>
  </si>
  <si>
    <t>2023-09-23</t>
  </si>
  <si>
    <t>Employee_909</t>
  </si>
  <si>
    <t>2024-07-05</t>
  </si>
  <si>
    <t>Employee_910</t>
  </si>
  <si>
    <t>Employee_911</t>
  </si>
  <si>
    <t>2019-09-11</t>
  </si>
  <si>
    <t>Employee_912</t>
  </si>
  <si>
    <t>2023-01-10</t>
  </si>
  <si>
    <t>Employee_913</t>
  </si>
  <si>
    <t>2024-03-13</t>
  </si>
  <si>
    <t>Employee_914</t>
  </si>
  <si>
    <t>2022-01-04</t>
  </si>
  <si>
    <t>Employee_915</t>
  </si>
  <si>
    <t>2023-12-18</t>
  </si>
  <si>
    <t>Employee_916</t>
  </si>
  <si>
    <t>2022-06-14</t>
  </si>
  <si>
    <t>Employee_917</t>
  </si>
  <si>
    <t>2024-11-06</t>
  </si>
  <si>
    <t>Employee_918</t>
  </si>
  <si>
    <t>2020-05-29</t>
  </si>
  <si>
    <t>Employee_919</t>
  </si>
  <si>
    <t>2020-03-08</t>
  </si>
  <si>
    <t>Employee_920</t>
  </si>
  <si>
    <t>2021-06-22</t>
  </si>
  <si>
    <t>Employee_921</t>
  </si>
  <si>
    <t>2025-08-09</t>
  </si>
  <si>
    <t>Employee_922</t>
  </si>
  <si>
    <t>Employee_923</t>
  </si>
  <si>
    <t>Employee_924</t>
  </si>
  <si>
    <t>2019-04-06</t>
  </si>
  <si>
    <t>Employee_925</t>
  </si>
  <si>
    <t>2024-01-02</t>
  </si>
  <si>
    <t>Employee_926</t>
  </si>
  <si>
    <t>2020-02-21</t>
  </si>
  <si>
    <t>Employee_927</t>
  </si>
  <si>
    <t>2022-07-07</t>
  </si>
  <si>
    <t>Employee_928</t>
  </si>
  <si>
    <t>2024-05-13</t>
  </si>
  <si>
    <t>Employee_929</t>
  </si>
  <si>
    <t>Employee_930</t>
  </si>
  <si>
    <t>Employee_931</t>
  </si>
  <si>
    <t>2026-07-28</t>
  </si>
  <si>
    <t>Employee_932</t>
  </si>
  <si>
    <t>Employee_933</t>
  </si>
  <si>
    <t>2020-02-04</t>
  </si>
  <si>
    <t>Employee_934</t>
  </si>
  <si>
    <t>2020-12-21</t>
  </si>
  <si>
    <t>Employee_935</t>
  </si>
  <si>
    <t>2023-07-30</t>
  </si>
  <si>
    <t>Employee_936</t>
  </si>
  <si>
    <t>2023-01-04</t>
  </si>
  <si>
    <t>Employee_937</t>
  </si>
  <si>
    <t>2025-09-06</t>
  </si>
  <si>
    <t>Employee_938</t>
  </si>
  <si>
    <t>2024-01-21</t>
  </si>
  <si>
    <t>Employee_939</t>
  </si>
  <si>
    <t>2025-01-18</t>
  </si>
  <si>
    <t>Employee_940</t>
  </si>
  <si>
    <t>Employee_941</t>
  </si>
  <si>
    <t>Employee_942</t>
  </si>
  <si>
    <t>2023-05-09</t>
  </si>
  <si>
    <t>Employee_943</t>
  </si>
  <si>
    <t>2025-10-10</t>
  </si>
  <si>
    <t>Employee_944</t>
  </si>
  <si>
    <t>2026-09-01</t>
  </si>
  <si>
    <t>Employee_945</t>
  </si>
  <si>
    <t>Employee_946</t>
  </si>
  <si>
    <t>2023-08-23</t>
  </si>
  <si>
    <t>Employee_947</t>
  </si>
  <si>
    <t>Employee_948</t>
  </si>
  <si>
    <t>2021-04-29</t>
  </si>
  <si>
    <t>Employee_949</t>
  </si>
  <si>
    <t>2023-07-26</t>
  </si>
  <si>
    <t>Employee_950</t>
  </si>
  <si>
    <t>2024-11-10</t>
  </si>
  <si>
    <t>Employee_951</t>
  </si>
  <si>
    <t>Employee_952</t>
  </si>
  <si>
    <t>2022-02-11</t>
  </si>
  <si>
    <t>Employee_953</t>
  </si>
  <si>
    <t>2021-09-19</t>
  </si>
  <si>
    <t>Employee_954</t>
  </si>
  <si>
    <t>Employee_955</t>
  </si>
  <si>
    <t>2023-04-14</t>
  </si>
  <si>
    <t>Employee_956</t>
  </si>
  <si>
    <t>Employee_957</t>
  </si>
  <si>
    <t>2021-02-09</t>
  </si>
  <si>
    <t>Employee_958</t>
  </si>
  <si>
    <t>Employee_959</t>
  </si>
  <si>
    <t>2024-01-05</t>
  </si>
  <si>
    <t>Employee_960</t>
  </si>
  <si>
    <t>Employee_961</t>
  </si>
  <si>
    <t>2024-09-15</t>
  </si>
  <si>
    <t>Employee_962</t>
  </si>
  <si>
    <t>2026-02-14</t>
  </si>
  <si>
    <t>Employee_963</t>
  </si>
  <si>
    <t>2025-07-21</t>
  </si>
  <si>
    <t>Employee_964</t>
  </si>
  <si>
    <t>2023-06-03</t>
  </si>
  <si>
    <t>Employee_965</t>
  </si>
  <si>
    <t>2025-12-19</t>
  </si>
  <si>
    <t>Employee_966</t>
  </si>
  <si>
    <t>2020-06-18</t>
  </si>
  <si>
    <t>Employee_967</t>
  </si>
  <si>
    <t>Employee_968</t>
  </si>
  <si>
    <t>2023-02-09</t>
  </si>
  <si>
    <t>Employee_969</t>
  </si>
  <si>
    <t>2020-08-26</t>
  </si>
  <si>
    <t>Employee_970</t>
  </si>
  <si>
    <t>2021-03-06</t>
  </si>
  <si>
    <t>Employee_971</t>
  </si>
  <si>
    <t>Employee_972</t>
  </si>
  <si>
    <t>2019-07-05</t>
  </si>
  <si>
    <t>Employee_973</t>
  </si>
  <si>
    <t>2025-02-09</t>
  </si>
  <si>
    <t>Employee_974</t>
  </si>
  <si>
    <t>2023-07-08</t>
  </si>
  <si>
    <t>Employee_975</t>
  </si>
  <si>
    <t>2023-07-25</t>
  </si>
  <si>
    <t>Employee_976</t>
  </si>
  <si>
    <t>2021-07-31</t>
  </si>
  <si>
    <t>Employee_977</t>
  </si>
  <si>
    <t>Employee_978</t>
  </si>
  <si>
    <t>2022-10-08</t>
  </si>
  <si>
    <t>Employee_979</t>
  </si>
  <si>
    <t>2023-10-26</t>
  </si>
  <si>
    <t>Employee_980</t>
  </si>
  <si>
    <t>2019-06-26</t>
  </si>
  <si>
    <t>Employee_981</t>
  </si>
  <si>
    <t>2020-05-20</t>
  </si>
  <si>
    <t>Employee_982</t>
  </si>
  <si>
    <t>2024-07-13</t>
  </si>
  <si>
    <t>Employee_983</t>
  </si>
  <si>
    <t>2021-09-06</t>
  </si>
  <si>
    <t>Employee_984</t>
  </si>
  <si>
    <t>Employee_985</t>
  </si>
  <si>
    <t>Employee_986</t>
  </si>
  <si>
    <t>2020-05-05</t>
  </si>
  <si>
    <t>Employee_987</t>
  </si>
  <si>
    <t>2025-10-30</t>
  </si>
  <si>
    <t>Employee_988</t>
  </si>
  <si>
    <t>2020-06-12</t>
  </si>
  <si>
    <t>Employee_989</t>
  </si>
  <si>
    <t>Employee_990</t>
  </si>
  <si>
    <t>Employee_991</t>
  </si>
  <si>
    <t>2020-02-03</t>
  </si>
  <si>
    <t>Employee_992</t>
  </si>
  <si>
    <t>Employee_993</t>
  </si>
  <si>
    <t>2025-12-05</t>
  </si>
  <si>
    <t>Employee_994</t>
  </si>
  <si>
    <t>Employee_995</t>
  </si>
  <si>
    <t>Employee_996</t>
  </si>
  <si>
    <t>2021-10-11</t>
  </si>
  <si>
    <t>Employee_997</t>
  </si>
  <si>
    <t>Employee_998</t>
  </si>
  <si>
    <t>2020-11-16</t>
  </si>
  <si>
    <t>Employee_999</t>
  </si>
  <si>
    <t>2023-06-08</t>
  </si>
  <si>
    <t>Employee_1000</t>
  </si>
  <si>
    <t>2025-01-21</t>
  </si>
  <si>
    <t>Data quality Check</t>
  </si>
  <si>
    <t>Total records</t>
  </si>
  <si>
    <t>Unique Smployee ID</t>
  </si>
  <si>
    <t>Duplicate Employee ID</t>
  </si>
  <si>
    <t>Missing Employee ID</t>
  </si>
  <si>
    <t>Missing Monthly Salary</t>
  </si>
  <si>
    <t>Missing experience</t>
  </si>
  <si>
    <t>Missing Attendance</t>
  </si>
  <si>
    <t>Missing Overtime</t>
  </si>
  <si>
    <t>Missing Productivity</t>
  </si>
  <si>
    <t>Workforce Performance Summary</t>
  </si>
  <si>
    <t>Average Experience</t>
  </si>
  <si>
    <t>Average Monthly Salary</t>
  </si>
  <si>
    <t>Average Attendance</t>
  </si>
  <si>
    <t>Average Overtime</t>
  </si>
  <si>
    <t>Average Productivity</t>
  </si>
  <si>
    <t>Employees</t>
  </si>
  <si>
    <t>Avg Productivity</t>
  </si>
  <si>
    <t>Avg Overtime</t>
  </si>
  <si>
    <t>Avg Attendance</t>
  </si>
  <si>
    <t>Avg Salary</t>
  </si>
  <si>
    <t>Department performance Analysis</t>
  </si>
  <si>
    <t>Workforce Signal</t>
  </si>
  <si>
    <t>Productivity Gap</t>
  </si>
  <si>
    <t>Overtime Gap</t>
  </si>
  <si>
    <t>Workload completion %</t>
  </si>
  <si>
    <t>Low Risk</t>
  </si>
  <si>
    <t>Medium Risk</t>
  </si>
  <si>
    <t>High Risk</t>
  </si>
  <si>
    <t>High risk %</t>
  </si>
  <si>
    <t>Staffing Pressure Score</t>
  </si>
  <si>
    <t>Recomendation</t>
  </si>
  <si>
    <t>Customer Complaint</t>
  </si>
  <si>
    <t>complaints per customer</t>
  </si>
  <si>
    <t xml:space="preserve">Operations </t>
  </si>
  <si>
    <t>customer support</t>
  </si>
  <si>
    <t>Departments</t>
  </si>
  <si>
    <t>Avg Experience</t>
  </si>
  <si>
    <t>hsdkwdbk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</si>
</sst>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* #,##0.00_ ;_ * \-#,##0.00_ ;_ * &quot;-&quot;??_ ;_ @_ "/>
    <numFmt numFmtId="165" formatCode="[$₹-4009]\ #,##0"/>
    <numFmt numFmtId="166" formatCode="0.0"/>
    <numFmt numFmtId="167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0" fontId="0" fillId="0" borderId="1" xfId="0" applyNumberFormat="1" applyBorder="1"/>
    <xf numFmtId="0" fontId="0" fillId="0" borderId="1" xfId="0" applyNumberFormat="1" applyBorder="1"/>
    <xf numFmtId="0" fontId="2" fillId="3" borderId="0" xfId="0" applyFont="1" applyFill="1"/>
    <xf numFmtId="166" fontId="0" fillId="0" borderId="1" xfId="0" applyNumberFormat="1" applyBorder="1"/>
    <xf numFmtId="0" fontId="2" fillId="5" borderId="0" xfId="0" applyFont="1" applyFill="1"/>
    <xf numFmtId="0" fontId="2" fillId="4" borderId="1" xfId="0" applyFont="1" applyFill="1" applyBorder="1"/>
    <xf numFmtId="2" fontId="0" fillId="0" borderId="1" xfId="0" applyNumberFormat="1" applyBorder="1"/>
    <xf numFmtId="167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/>
    <xf numFmtId="1" fontId="0" fillId="5" borderId="1" xfId="0" applyNumberFormat="1" applyFont="1" applyFill="1" applyBorder="1"/>
    <xf numFmtId="1" fontId="0" fillId="0" borderId="1" xfId="0" applyNumberFormat="1" applyBorder="1"/>
    <xf numFmtId="0" fontId="2" fillId="8" borderId="1" xfId="0" applyFont="1" applyFill="1" applyBorder="1"/>
    <xf numFmtId="0" fontId="0" fillId="9" borderId="1" xfId="0" applyFill="1" applyBorder="1"/>
    <xf numFmtId="0" fontId="2" fillId="6" borderId="2" xfId="0" applyFont="1" applyFill="1" applyBorder="1"/>
    <xf numFmtId="0" fontId="0" fillId="0" borderId="2" xfId="0" applyBorder="1"/>
    <xf numFmtId="166" fontId="0" fillId="0" borderId="2" xfId="0" applyNumberFormat="1" applyBorder="1"/>
    <xf numFmtId="164" fontId="0" fillId="0" borderId="2" xfId="0" applyNumberFormat="1" applyBorder="1"/>
    <xf numFmtId="0" fontId="0" fillId="0" borderId="0" xfId="0" applyBorder="1"/>
    <xf numFmtId="0" fontId="0" fillId="0" borderId="0" xfId="0" applyFill="1"/>
    <xf numFmtId="0" fontId="2" fillId="0" borderId="0" xfId="0" applyFont="1" applyFill="1" applyBorder="1"/>
    <xf numFmtId="0" fontId="0" fillId="0" borderId="0" xfId="0" applyFill="1" applyBorder="1"/>
    <xf numFmtId="0" fontId="2" fillId="7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</a:t>
            </a:r>
            <a:r>
              <a:rPr lang="en-US" baseline="0"/>
              <a:t> Force Distribution By Department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Analysis!$B$21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Analysis!$A$22:$A$27</c:f>
              <c:strCache>
                <c:ptCount val="6"/>
                <c:pt idx="0">
                  <c:v>Sales</c:v>
                </c:pt>
                <c:pt idx="1">
                  <c:v>Finance</c:v>
                </c:pt>
                <c:pt idx="2">
                  <c:v>Operations</c:v>
                </c:pt>
                <c:pt idx="3">
                  <c:v>Customer Support</c:v>
                </c:pt>
                <c:pt idx="4">
                  <c:v>HR</c:v>
                </c:pt>
                <c:pt idx="5">
                  <c:v>IT</c:v>
                </c:pt>
              </c:strCache>
            </c:strRef>
          </c:cat>
          <c:val>
            <c:numRef>
              <c:f>Analysis!$B$22:$B$27</c:f>
              <c:numCache>
                <c:formatCode>General</c:formatCode>
                <c:ptCount val="6"/>
                <c:pt idx="0">
                  <c:v>160</c:v>
                </c:pt>
                <c:pt idx="1">
                  <c:v>163</c:v>
                </c:pt>
                <c:pt idx="2">
                  <c:v>166</c:v>
                </c:pt>
                <c:pt idx="3">
                  <c:v>182</c:v>
                </c:pt>
                <c:pt idx="4">
                  <c:v>163</c:v>
                </c:pt>
                <c:pt idx="5">
                  <c:v>166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736-4A4E-A72C-F2FC5DDF7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96864"/>
        <c:axId val="212801960"/>
      </c:barChart>
      <c:catAx>
        <c:axId val="21279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1960"/>
        <c:crosses val="autoZero"/>
        <c:auto val="1"/>
        <c:lblAlgn val="ctr"/>
        <c:lblOffset val="100"/>
        <c:noMultiLvlLbl val="0"/>
      </c:catAx>
      <c:valAx>
        <c:axId val="212801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High-Risk</a:t>
            </a:r>
            <a:r>
              <a:rPr lang="en-IN" baseline="0"/>
              <a:t> Employees By Department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Analysis!$H$10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cat>
            <c:strRef>
              <c:f>Analysis!$G$11:$G$16</c:f>
              <c:strCache>
                <c:ptCount val="6"/>
                <c:pt idx="0">
                  <c:v>Sales</c:v>
                </c:pt>
                <c:pt idx="1">
                  <c:v>Finance</c:v>
                </c:pt>
                <c:pt idx="2">
                  <c:v>Operations</c:v>
                </c:pt>
                <c:pt idx="3">
                  <c:v>Customer Support</c:v>
                </c:pt>
                <c:pt idx="4">
                  <c:v>HR</c:v>
                </c:pt>
                <c:pt idx="5">
                  <c:v>IT</c:v>
                </c:pt>
              </c:strCache>
            </c:strRef>
          </c:cat>
          <c:val>
            <c:numRef>
              <c:f>Analysis!$H$11:$H$16</c:f>
              <c:numCache>
                <c:formatCode>0</c:formatCode>
                <c:ptCount val="6"/>
                <c:pt idx="0">
                  <c:v>47</c:v>
                </c:pt>
                <c:pt idx="1">
                  <c:v>1</c:v>
                </c:pt>
                <c:pt idx="2">
                  <c:v>72</c:v>
                </c:pt>
                <c:pt idx="3">
                  <c:v>125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799216"/>
        <c:axId val="212802352"/>
      </c:barChart>
      <c:valAx>
        <c:axId val="21280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9216"/>
        <c:crosses val="autoZero"/>
        <c:crossBetween val="between"/>
      </c:valAx>
      <c:catAx>
        <c:axId val="212799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802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5962253609651"/>
          <c:y val="0.25573431892442017"/>
          <c:w val="0.74767672887895664"/>
          <c:h val="0.454348492152766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Analysis!$B$42</c:f>
              <c:strCache>
                <c:ptCount val="1"/>
                <c:pt idx="0">
                  <c:v>Avg Productivity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Analysis!$A$43:$A$48</c:f>
              <c:strCache>
                <c:ptCount val="6"/>
                <c:pt idx="0">
                  <c:v>Sales</c:v>
                </c:pt>
                <c:pt idx="1">
                  <c:v>Finance</c:v>
                </c:pt>
                <c:pt idx="2">
                  <c:v>Operations</c:v>
                </c:pt>
                <c:pt idx="3">
                  <c:v>Customer Support</c:v>
                </c:pt>
                <c:pt idx="4">
                  <c:v>HR</c:v>
                </c:pt>
                <c:pt idx="5">
                  <c:v>IT</c:v>
                </c:pt>
              </c:strCache>
            </c:strRef>
          </c:cat>
          <c:val>
            <c:numRef>
              <c:f>Analysis!$B$43:$B$48</c:f>
              <c:numCache>
                <c:formatCode>0.0</c:formatCode>
                <c:ptCount val="6"/>
                <c:pt idx="0">
                  <c:v>82.955625000000026</c:v>
                </c:pt>
                <c:pt idx="1">
                  <c:v>88.3723926380368</c:v>
                </c:pt>
                <c:pt idx="2">
                  <c:v>84.031927710843348</c:v>
                </c:pt>
                <c:pt idx="3">
                  <c:v>77.421428571428521</c:v>
                </c:pt>
                <c:pt idx="4">
                  <c:v>85.933742331288386</c:v>
                </c:pt>
                <c:pt idx="5">
                  <c:v>90.392771084337369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798432"/>
        <c:axId val="212798040"/>
      </c:barChart>
      <c:lineChart>
        <c:grouping val="standard"/>
        <c:varyColors val="0"/>
        <c:ser>
          <c:idx val="1"/>
          <c:order val="1"/>
          <c:tx>
            <c:strRef>
              <c:f>Analysis!$C$42</c:f>
              <c:strCache>
                <c:ptCount val="1"/>
                <c:pt idx="0">
                  <c:v>Avg Overtime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Analysis!$A$43:$A$48</c:f>
              <c:strCache>
                <c:ptCount val="6"/>
                <c:pt idx="0">
                  <c:v>Sales</c:v>
                </c:pt>
                <c:pt idx="1">
                  <c:v>Finance</c:v>
                </c:pt>
                <c:pt idx="2">
                  <c:v>Operations</c:v>
                </c:pt>
                <c:pt idx="3">
                  <c:v>Customer Support</c:v>
                </c:pt>
                <c:pt idx="4">
                  <c:v>HR</c:v>
                </c:pt>
                <c:pt idx="5">
                  <c:v>IT</c:v>
                </c:pt>
              </c:strCache>
            </c:strRef>
          </c:cat>
          <c:val>
            <c:numRef>
              <c:f>Analysis!$C$43:$C$48</c:f>
              <c:numCache>
                <c:formatCode>0.0</c:formatCode>
                <c:ptCount val="6"/>
                <c:pt idx="0">
                  <c:v>19.081875000000004</c:v>
                </c:pt>
                <c:pt idx="1">
                  <c:v>12.55337423312884</c:v>
                </c:pt>
                <c:pt idx="2">
                  <c:v>24.964457831325308</c:v>
                </c:pt>
                <c:pt idx="3">
                  <c:v>21.533516483516479</c:v>
                </c:pt>
                <c:pt idx="4">
                  <c:v>11.187116564417177</c:v>
                </c:pt>
                <c:pt idx="5">
                  <c:v>16.839759036144574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799608"/>
        <c:axId val="212794904"/>
      </c:lineChart>
      <c:catAx>
        <c:axId val="212798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Department</a:t>
                </a:r>
                <a:r>
                  <a:rPr lang="en-IN" baseline="0"/>
                  <a:t> Productivity Vs Overtime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3441241685144127"/>
              <c:y val="2.541410895066685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8040"/>
        <c:crosses val="autoZero"/>
        <c:auto val="1"/>
        <c:lblAlgn val="ctr"/>
        <c:lblOffset val="100"/>
        <c:noMultiLvlLbl val="0"/>
      </c:catAx>
      <c:valAx>
        <c:axId val="212798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8432"/>
        <c:crosses val="autoZero"/>
        <c:crossBetween val="between"/>
      </c:valAx>
      <c:valAx>
        <c:axId val="212794904"/>
        <c:scaling>
          <c:orientation val="minMax"/>
        </c:scaling>
        <c:delete val="0"/>
        <c:axPos val="r"/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799608"/>
        <c:crosses val="max"/>
        <c:crossBetween val="between"/>
      </c:valAx>
      <c:catAx>
        <c:axId val="2127996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794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645687133386064"/>
          <c:y val="0.21231264893769983"/>
          <c:w val="0.85249647122150385"/>
          <c:h val="0.494348086137880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Analysis!$F$33</c:f>
              <c:strCache>
                <c:ptCount val="1"/>
                <c:pt idx="0">
                  <c:v>Customer Complaints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Analysis!$B$34:$B$39</c:f>
              <c:strCache>
                <c:ptCount val="6"/>
                <c:pt idx="0">
                  <c:v>Fulfillment</c:v>
                </c:pt>
                <c:pt idx="1">
                  <c:v>Process Control</c:v>
                </c:pt>
                <c:pt idx="2">
                  <c:v>Dispatch</c:v>
                </c:pt>
                <c:pt idx="3">
                  <c:v>Escalations</c:v>
                </c:pt>
                <c:pt idx="4">
                  <c:v>Voice Support</c:v>
                </c:pt>
                <c:pt idx="5">
                  <c:v>Email Support</c:v>
                </c:pt>
              </c:strCache>
            </c:strRef>
          </c:cat>
          <c:val>
            <c:numRef>
              <c:f>Analysis!$F$34:$F$39</c:f>
              <c:numCache>
                <c:formatCode>General</c:formatCode>
                <c:ptCount val="6"/>
                <c:pt idx="0">
                  <c:v>159</c:v>
                </c:pt>
                <c:pt idx="1">
                  <c:v>130</c:v>
                </c:pt>
                <c:pt idx="2">
                  <c:v>171</c:v>
                </c:pt>
                <c:pt idx="3">
                  <c:v>194</c:v>
                </c:pt>
                <c:pt idx="4">
                  <c:v>244</c:v>
                </c:pt>
                <c:pt idx="5">
                  <c:v>186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765304"/>
        <c:axId val="256763736"/>
      </c:barChart>
      <c:catAx>
        <c:axId val="256765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763736"/>
        <c:crosses val="autoZero"/>
        <c:auto val="1"/>
        <c:lblAlgn val="ctr"/>
        <c:lblOffset val="100"/>
        <c:noMultiLvlLbl val="0"/>
      </c:catAx>
      <c:valAx>
        <c:axId val="256763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765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259136</xdr:colOff>
      <xdr:row>7</xdr:row>
      <xdr:rowOff>63246</xdr:rowOff>
    </xdr:from>
    <xdr:to>
      <xdr:col>6</xdr:col>
      <xdr:colOff>318479</xdr:colOff>
      <xdr:row>11</xdr:row>
      <xdr:rowOff>175092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890D4F08-8A19-B691-08C6-802B153EE01C}"/>
            </a:ext>
          </a:extLst>
        </xdr:cNvPr>
        <xdr:cNvSpPr/>
      </xdr:nvSpPr>
      <xdr:spPr>
        <a:xfrm>
          <a:off x="2087096" y="1386941"/>
          <a:ext cx="1887302" cy="86824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</a:rPr>
            <a:t>Total Employees</a:t>
          </a:r>
        </a:p>
        <a:p>
          <a:pPr algn="ctr"/>
          <a:r>
            <a:rPr lang="en-IN" sz="2000">
              <a:solidFill>
                <a:schemeClr val="tx1"/>
              </a:solidFill>
            </a:rPr>
            <a:t>1000</a:t>
          </a:r>
          <a:endParaRPr 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392206</xdr:colOff>
      <xdr:row>7</xdr:row>
      <xdr:rowOff>61077</xdr:rowOff>
    </xdr:from>
    <xdr:to>
      <xdr:col>9</xdr:col>
      <xdr:colOff>323732</xdr:colOff>
      <xdr:row>11</xdr:row>
      <xdr:rowOff>175091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318D5C07-6DC0-6A47-B503-2D7CDC040905}"/>
            </a:ext>
          </a:extLst>
        </xdr:cNvPr>
        <xdr:cNvSpPr/>
      </xdr:nvSpPr>
      <xdr:spPr>
        <a:xfrm>
          <a:off x="4048125" y="1384772"/>
          <a:ext cx="1759486" cy="87041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</a:rPr>
            <a:t>AVG PRODUCTIVITY</a:t>
          </a:r>
          <a:r>
            <a:rPr lang="en-IN" sz="2000">
              <a:solidFill>
                <a:schemeClr val="tx1"/>
              </a:solidFill>
            </a:rPr>
            <a:t>
84.73%</a:t>
          </a:r>
          <a:endParaRPr 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408215</xdr:colOff>
      <xdr:row>7</xdr:row>
      <xdr:rowOff>64985</xdr:rowOff>
    </xdr:from>
    <xdr:to>
      <xdr:col>13</xdr:col>
      <xdr:colOff>175235</xdr:colOff>
      <xdr:row>11</xdr:row>
      <xdr:rowOff>165229</xdr:rowOff>
    </xdr:to>
    <xdr:sp macro="" textlink="">
      <xdr:nvSpPr>
        <xdr:cNvPr id="4" name="Rectangle 3">
          <a:extLst>
            <a:ext uri="{FF2B5EF4-FFF2-40B4-BE49-F238E27FC236}">
              <a16:creationId xmlns="" xmlns:a16="http://schemas.microsoft.com/office/drawing/2014/main" id="{A19E476D-CC42-E24E-B36C-7A6D756D4A08}"/>
            </a:ext>
          </a:extLst>
        </xdr:cNvPr>
        <xdr:cNvSpPr/>
      </xdr:nvSpPr>
      <xdr:spPr>
        <a:xfrm>
          <a:off x="5919108" y="1425699"/>
          <a:ext cx="2216306" cy="87779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</a:rPr>
            <a:t>HIGH-RISK EMPLOYEES</a:t>
          </a:r>
          <a:r>
            <a:rPr lang="en-IN" sz="2000">
              <a:solidFill>
                <a:schemeClr val="tx1"/>
              </a:solidFill>
            </a:rPr>
            <a:t>
253</a:t>
          </a:r>
          <a:endParaRPr lang="en-US" sz="20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262424</xdr:colOff>
      <xdr:row>7</xdr:row>
      <xdr:rowOff>67197</xdr:rowOff>
    </xdr:from>
    <xdr:to>
      <xdr:col>18</xdr:col>
      <xdr:colOff>126353</xdr:colOff>
      <xdr:row>11</xdr:row>
      <xdr:rowOff>175092</xdr:rowOff>
    </xdr:to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90349B41-3AC6-CE4A-BCCC-4CB59E0957BF}"/>
            </a:ext>
          </a:extLst>
        </xdr:cNvPr>
        <xdr:cNvSpPr/>
      </xdr:nvSpPr>
      <xdr:spPr>
        <a:xfrm>
          <a:off x="8183582" y="1390892"/>
          <a:ext cx="2910528" cy="864292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>
              <a:solidFill>
                <a:schemeClr val="tx1"/>
              </a:solidFill>
            </a:rPr>
            <a:t>HIGH HIRING PRIORITY
Operations + Customer Support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256087</xdr:colOff>
      <xdr:row>12</xdr:row>
      <xdr:rowOff>65512</xdr:rowOff>
    </xdr:from>
    <xdr:to>
      <xdr:col>10</xdr:col>
      <xdr:colOff>282609</xdr:colOff>
      <xdr:row>25</xdr:row>
      <xdr:rowOff>62801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5A2078EF-1B8E-8A41-8C01-6664AB10E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240741</xdr:colOff>
      <xdr:row>25</xdr:row>
      <xdr:rowOff>133349</xdr:rowOff>
    </xdr:from>
    <xdr:to>
      <xdr:col>10</xdr:col>
      <xdr:colOff>284913</xdr:colOff>
      <xdr:row>38</xdr:row>
      <xdr:rowOff>115137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345413</xdr:colOff>
      <xdr:row>12</xdr:row>
      <xdr:rowOff>61860</xdr:rowOff>
    </xdr:from>
    <xdr:to>
      <xdr:col>18</xdr:col>
      <xdr:colOff>131572</xdr:colOff>
      <xdr:row>25</xdr:row>
      <xdr:rowOff>62801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340179</xdr:colOff>
      <xdr:row>25</xdr:row>
      <xdr:rowOff>130072</xdr:rowOff>
    </xdr:from>
    <xdr:to>
      <xdr:col>18</xdr:col>
      <xdr:colOff>136072</xdr:colOff>
      <xdr:row>38</xdr:row>
      <xdr:rowOff>104670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33644</xdr:colOff>
      <xdr:row>3</xdr:row>
      <xdr:rowOff>50091</xdr:rowOff>
    </xdr:from>
    <xdr:to>
      <xdr:col>16</xdr:col>
      <xdr:colOff>353740</xdr:colOff>
      <xdr:row>6</xdr:row>
      <xdr:rowOff>97272</xdr:rowOff>
    </xdr:to>
    <xdr:sp macro="" textlink="">
      <xdr:nvSpPr>
        <xdr:cNvPr id="11" name="Rectangle 10">
          <a:extLst>
            <a:ext uri="{FF2B5EF4-FFF2-40B4-BE49-F238E27FC236}">
              <a16:creationId xmlns="" xmlns:a16="http://schemas.microsoft.com/office/drawing/2014/main" id="{90349B41-3AC6-CE4A-BCCC-4CB59E0957BF}"/>
            </a:ext>
          </a:extLst>
        </xdr:cNvPr>
        <xdr:cNvSpPr/>
      </xdr:nvSpPr>
      <xdr:spPr>
        <a:xfrm>
          <a:off x="3069084" y="615311"/>
          <a:ext cx="6998063" cy="612401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 b="1">
              <a:solidFill>
                <a:schemeClr val="tx1"/>
              </a:solidFill>
            </a:rPr>
            <a:t>VORTEX</a:t>
          </a:r>
          <a:r>
            <a:rPr lang="en-US" sz="3200" b="1" baseline="0">
              <a:solidFill>
                <a:schemeClr val="tx1"/>
              </a:solidFill>
            </a:rPr>
            <a:t> WORKFORCE PLANNING</a:t>
          </a:r>
          <a:endParaRPr lang="en-US" sz="32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240742</xdr:colOff>
      <xdr:row>39</xdr:row>
      <xdr:rowOff>52335</xdr:rowOff>
    </xdr:from>
    <xdr:to>
      <xdr:col>10</xdr:col>
      <xdr:colOff>240742</xdr:colOff>
      <xdr:row>40</xdr:row>
      <xdr:rowOff>172785</xdr:rowOff>
    </xdr:to>
    <xdr:sp macro="" textlink="">
      <xdr:nvSpPr>
        <xdr:cNvPr id="12" name="Rectangle 11">
          <a:extLst>
            <a:ext uri="{FF2B5EF4-FFF2-40B4-BE49-F238E27FC236}">
              <a16:creationId xmlns="" xmlns:a16="http://schemas.microsoft.com/office/drawing/2014/main" id="{90349B41-3AC6-CE4A-BCCC-4CB59E0957BF}"/>
            </a:ext>
          </a:extLst>
        </xdr:cNvPr>
        <xdr:cNvSpPr/>
      </xdr:nvSpPr>
      <xdr:spPr>
        <a:xfrm>
          <a:off x="2062006" y="7400192"/>
          <a:ext cx="4249615" cy="30885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Priority</a:t>
          </a:r>
          <a:r>
            <a:rPr lang="en-US" sz="1400" b="0" baseline="0">
              <a:solidFill>
                <a:schemeClr val="tx1"/>
              </a:solidFill>
            </a:rPr>
            <a:t> Departments - Operations + Customer Support  </a:t>
          </a:r>
          <a:endParaRPr lang="en-US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496093</xdr:colOff>
      <xdr:row>2</xdr:row>
      <xdr:rowOff>59531</xdr:rowOff>
    </xdr:from>
    <xdr:to>
      <xdr:col>18</xdr:col>
      <xdr:colOff>456406</xdr:colOff>
      <xdr:row>42</xdr:row>
      <xdr:rowOff>39688</xdr:rowOff>
    </xdr:to>
    <xdr:sp macro="" textlink="">
      <xdr:nvSpPr>
        <xdr:cNvPr id="7" name="Rectangle 6"/>
        <xdr:cNvSpPr/>
      </xdr:nvSpPr>
      <xdr:spPr>
        <a:xfrm>
          <a:off x="1726406" y="456406"/>
          <a:ext cx="9802813" cy="7917657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workbookViewId="0">
      <pane ySplit="1" topLeftCell="A2" activePane="bottomLeft" state="frozen"/>
      <selection activeCell="L1" sqref="L1"/>
      <selection pane="bottomLeft" activeCell="D1" sqref="D1"/>
    </sheetView>
  </sheetViews>
  <sheetFormatPr defaultRowHeight="15" x14ac:dyDescent="0.25"/>
  <cols>
    <col min="1" max="1" width="11.7109375" bestFit="1" customWidth="1"/>
    <col min="2" max="2" width="15" bestFit="1" customWidth="1"/>
    <col min="3" max="3" width="16.140625" bestFit="1" customWidth="1"/>
    <col min="4" max="4" width="17.28515625" bestFit="1" customWidth="1"/>
    <col min="5" max="5" width="13.85546875" bestFit="1" customWidth="1"/>
    <col min="6" max="6" width="10" bestFit="1" customWidth="1"/>
    <col min="7" max="8" width="16.7109375" bestFit="1" customWidth="1"/>
    <col min="9" max="9" width="11.42578125" bestFit="1" customWidth="1"/>
    <col min="10" max="10" width="12.7109375" bestFit="1" customWidth="1"/>
    <col min="11" max="11" width="14.5703125" bestFit="1" customWidth="1"/>
    <col min="12" max="12" width="13.140625" bestFit="1" customWidth="1"/>
    <col min="13" max="13" width="17.42578125" bestFit="1" customWidth="1"/>
    <col min="14" max="14" width="19.28515625" bestFit="1" customWidth="1"/>
    <col min="15" max="15" width="19.5703125" bestFit="1" customWidth="1"/>
    <col min="16" max="16" width="13.140625" bestFit="1" customWidth="1"/>
    <col min="17" max="17" width="15" bestFit="1" customWidth="1"/>
    <col min="18" max="18" width="18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1001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6.7</v>
      </c>
      <c r="H2">
        <v>80904</v>
      </c>
      <c r="I2" t="s">
        <v>23</v>
      </c>
      <c r="J2">
        <v>99.5</v>
      </c>
      <c r="K2">
        <v>18.100000000000001</v>
      </c>
      <c r="L2">
        <v>88</v>
      </c>
      <c r="M2">
        <v>86</v>
      </c>
      <c r="N2">
        <v>74</v>
      </c>
      <c r="O2">
        <v>5</v>
      </c>
      <c r="P2">
        <v>11</v>
      </c>
      <c r="Q2" t="s">
        <v>24</v>
      </c>
      <c r="R2" t="s">
        <v>25</v>
      </c>
    </row>
    <row r="3" spans="1:18" x14ac:dyDescent="0.25">
      <c r="A3">
        <v>1002</v>
      </c>
      <c r="B3" t="s">
        <v>26</v>
      </c>
      <c r="C3" t="s">
        <v>27</v>
      </c>
      <c r="D3" t="s">
        <v>28</v>
      </c>
      <c r="E3" t="s">
        <v>29</v>
      </c>
      <c r="F3" t="s">
        <v>22</v>
      </c>
      <c r="G3">
        <v>3.4</v>
      </c>
      <c r="H3">
        <v>51543</v>
      </c>
      <c r="I3" t="s">
        <v>30</v>
      </c>
      <c r="J3">
        <v>90.8</v>
      </c>
      <c r="K3">
        <v>22.5</v>
      </c>
      <c r="L3">
        <v>80.400000000000006</v>
      </c>
      <c r="M3">
        <v>46</v>
      </c>
      <c r="N3">
        <v>35</v>
      </c>
      <c r="O3">
        <v>4</v>
      </c>
      <c r="P3">
        <v>14</v>
      </c>
      <c r="Q3" t="s">
        <v>24</v>
      </c>
      <c r="R3" t="s">
        <v>25</v>
      </c>
    </row>
    <row r="4" spans="1:18" x14ac:dyDescent="0.25">
      <c r="A4">
        <v>1003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4</v>
      </c>
      <c r="H4">
        <v>69468</v>
      </c>
      <c r="I4" t="s">
        <v>36</v>
      </c>
      <c r="J4">
        <v>82.3</v>
      </c>
      <c r="K4">
        <v>31.6</v>
      </c>
      <c r="L4">
        <v>81.2</v>
      </c>
      <c r="M4">
        <v>99</v>
      </c>
      <c r="N4">
        <v>82</v>
      </c>
      <c r="O4">
        <v>5</v>
      </c>
      <c r="P4">
        <v>18</v>
      </c>
      <c r="Q4" t="s">
        <v>37</v>
      </c>
      <c r="R4" t="s">
        <v>25</v>
      </c>
    </row>
    <row r="5" spans="1:18" x14ac:dyDescent="0.25">
      <c r="A5">
        <v>1004</v>
      </c>
      <c r="B5" t="s">
        <v>38</v>
      </c>
      <c r="C5" t="s">
        <v>19</v>
      </c>
      <c r="D5" t="s">
        <v>20</v>
      </c>
      <c r="E5" t="s">
        <v>39</v>
      </c>
      <c r="F5" t="s">
        <v>40</v>
      </c>
      <c r="G5">
        <v>2.6</v>
      </c>
      <c r="H5">
        <v>50368</v>
      </c>
      <c r="I5" t="s">
        <v>41</v>
      </c>
      <c r="J5">
        <v>97.3</v>
      </c>
      <c r="K5">
        <v>19.399999999999999</v>
      </c>
      <c r="L5">
        <v>85.1</v>
      </c>
      <c r="M5">
        <v>98</v>
      </c>
      <c r="N5">
        <v>87</v>
      </c>
      <c r="O5">
        <v>4</v>
      </c>
      <c r="P5">
        <v>10</v>
      </c>
      <c r="Q5" t="s">
        <v>42</v>
      </c>
      <c r="R5" t="s">
        <v>25</v>
      </c>
    </row>
    <row r="6" spans="1:18" x14ac:dyDescent="0.25">
      <c r="A6">
        <v>1005</v>
      </c>
      <c r="B6" t="s">
        <v>43</v>
      </c>
      <c r="C6" t="s">
        <v>44</v>
      </c>
      <c r="D6" t="s">
        <v>45</v>
      </c>
      <c r="E6" t="s">
        <v>46</v>
      </c>
      <c r="F6" t="s">
        <v>22</v>
      </c>
      <c r="G6">
        <v>5</v>
      </c>
      <c r="H6">
        <v>70108</v>
      </c>
      <c r="I6" t="s">
        <v>47</v>
      </c>
      <c r="J6">
        <v>86.2</v>
      </c>
      <c r="K6">
        <v>0.4</v>
      </c>
      <c r="L6">
        <v>82.9</v>
      </c>
      <c r="M6">
        <v>80</v>
      </c>
      <c r="N6">
        <v>63</v>
      </c>
      <c r="O6">
        <v>8</v>
      </c>
      <c r="P6">
        <v>24</v>
      </c>
      <c r="Q6" t="s">
        <v>37</v>
      </c>
      <c r="R6" t="s">
        <v>25</v>
      </c>
    </row>
    <row r="7" spans="1:18" x14ac:dyDescent="0.25">
      <c r="A7">
        <v>1006</v>
      </c>
      <c r="B7" t="s">
        <v>48</v>
      </c>
      <c r="C7" t="s">
        <v>49</v>
      </c>
      <c r="D7" t="s">
        <v>50</v>
      </c>
      <c r="E7" t="s">
        <v>51</v>
      </c>
      <c r="F7" t="s">
        <v>40</v>
      </c>
      <c r="G7">
        <v>0.5</v>
      </c>
      <c r="H7">
        <v>45665</v>
      </c>
      <c r="I7" t="s">
        <v>52</v>
      </c>
      <c r="J7">
        <v>93.1</v>
      </c>
      <c r="K7">
        <v>0</v>
      </c>
      <c r="L7">
        <v>85.2</v>
      </c>
      <c r="M7">
        <v>40</v>
      </c>
      <c r="N7">
        <v>32</v>
      </c>
      <c r="O7">
        <v>3</v>
      </c>
      <c r="P7">
        <v>15</v>
      </c>
      <c r="Q7" t="s">
        <v>42</v>
      </c>
      <c r="R7" t="s">
        <v>25</v>
      </c>
    </row>
    <row r="8" spans="1:18" x14ac:dyDescent="0.25">
      <c r="A8">
        <v>1007</v>
      </c>
      <c r="B8" t="s">
        <v>53</v>
      </c>
      <c r="C8" t="s">
        <v>44</v>
      </c>
      <c r="D8" t="s">
        <v>54</v>
      </c>
      <c r="E8" t="s">
        <v>55</v>
      </c>
      <c r="F8" t="s">
        <v>40</v>
      </c>
      <c r="G8">
        <v>2.6</v>
      </c>
      <c r="H8">
        <v>46302</v>
      </c>
      <c r="I8" t="s">
        <v>56</v>
      </c>
      <c r="J8">
        <v>91.3</v>
      </c>
      <c r="K8">
        <v>17.600000000000001</v>
      </c>
      <c r="L8">
        <v>72.7</v>
      </c>
      <c r="M8">
        <v>116</v>
      </c>
      <c r="N8">
        <v>93</v>
      </c>
      <c r="O8">
        <v>4</v>
      </c>
      <c r="P8">
        <v>17</v>
      </c>
      <c r="Q8" t="s">
        <v>37</v>
      </c>
      <c r="R8" t="s">
        <v>57</v>
      </c>
    </row>
    <row r="9" spans="1:18" x14ac:dyDescent="0.25">
      <c r="A9">
        <v>1008</v>
      </c>
      <c r="B9" t="s">
        <v>58</v>
      </c>
      <c r="C9" t="s">
        <v>49</v>
      </c>
      <c r="D9" t="s">
        <v>59</v>
      </c>
      <c r="E9" t="s">
        <v>60</v>
      </c>
      <c r="F9" t="s">
        <v>40</v>
      </c>
      <c r="G9">
        <v>10.199999999999999</v>
      </c>
      <c r="H9">
        <v>107030</v>
      </c>
      <c r="I9" t="s">
        <v>61</v>
      </c>
      <c r="J9">
        <v>97.6</v>
      </c>
      <c r="K9">
        <v>15.5</v>
      </c>
      <c r="L9">
        <v>92.7</v>
      </c>
      <c r="M9">
        <v>55</v>
      </c>
      <c r="N9">
        <v>44</v>
      </c>
      <c r="O9">
        <v>0</v>
      </c>
      <c r="P9">
        <v>14</v>
      </c>
      <c r="Q9" t="s">
        <v>42</v>
      </c>
      <c r="R9" t="s">
        <v>62</v>
      </c>
    </row>
    <row r="10" spans="1:18" x14ac:dyDescent="0.25">
      <c r="A10">
        <v>1009</v>
      </c>
      <c r="B10" t="s">
        <v>63</v>
      </c>
      <c r="C10" t="s">
        <v>27</v>
      </c>
      <c r="D10" t="s">
        <v>64</v>
      </c>
      <c r="E10" t="s">
        <v>29</v>
      </c>
      <c r="F10" t="s">
        <v>22</v>
      </c>
      <c r="G10">
        <v>0.5</v>
      </c>
      <c r="H10">
        <v>31308</v>
      </c>
      <c r="I10" t="s">
        <v>65</v>
      </c>
      <c r="J10">
        <v>92.9</v>
      </c>
      <c r="K10">
        <v>0</v>
      </c>
      <c r="L10">
        <v>87</v>
      </c>
      <c r="M10">
        <v>61</v>
      </c>
      <c r="N10">
        <v>49</v>
      </c>
      <c r="O10">
        <v>5</v>
      </c>
      <c r="P10">
        <v>15</v>
      </c>
      <c r="Q10" t="s">
        <v>42</v>
      </c>
      <c r="R10" t="s">
        <v>25</v>
      </c>
    </row>
    <row r="11" spans="1:18" x14ac:dyDescent="0.25">
      <c r="A11">
        <v>1010</v>
      </c>
      <c r="B11" t="s">
        <v>66</v>
      </c>
      <c r="C11" t="s">
        <v>32</v>
      </c>
      <c r="D11" t="s">
        <v>67</v>
      </c>
      <c r="E11" t="s">
        <v>34</v>
      </c>
      <c r="F11" t="s">
        <v>22</v>
      </c>
      <c r="G11">
        <v>6.3</v>
      </c>
      <c r="H11">
        <v>80024</v>
      </c>
      <c r="I11" t="s">
        <v>68</v>
      </c>
      <c r="J11">
        <v>89.2</v>
      </c>
      <c r="K11">
        <v>23.4</v>
      </c>
      <c r="L11">
        <v>83.8</v>
      </c>
      <c r="M11">
        <v>103</v>
      </c>
      <c r="N11">
        <v>90</v>
      </c>
      <c r="O11">
        <v>2</v>
      </c>
      <c r="P11">
        <v>20</v>
      </c>
      <c r="Q11" t="s">
        <v>24</v>
      </c>
      <c r="R11" t="s">
        <v>25</v>
      </c>
    </row>
    <row r="12" spans="1:18" x14ac:dyDescent="0.25">
      <c r="A12">
        <v>1011</v>
      </c>
      <c r="B12" t="s">
        <v>69</v>
      </c>
      <c r="C12" t="s">
        <v>44</v>
      </c>
      <c r="D12" t="s">
        <v>70</v>
      </c>
      <c r="E12" t="s">
        <v>55</v>
      </c>
      <c r="F12" t="s">
        <v>35</v>
      </c>
      <c r="G12">
        <v>4.3</v>
      </c>
      <c r="H12">
        <v>68552</v>
      </c>
      <c r="I12" t="s">
        <v>71</v>
      </c>
      <c r="J12">
        <v>96.4</v>
      </c>
      <c r="K12">
        <v>18.899999999999999</v>
      </c>
      <c r="L12">
        <v>76.900000000000006</v>
      </c>
      <c r="M12">
        <v>113</v>
      </c>
      <c r="N12">
        <v>95</v>
      </c>
      <c r="O12">
        <v>6</v>
      </c>
      <c r="P12">
        <v>15</v>
      </c>
      <c r="Q12" t="s">
        <v>37</v>
      </c>
      <c r="R12" t="s">
        <v>57</v>
      </c>
    </row>
    <row r="13" spans="1:18" x14ac:dyDescent="0.25">
      <c r="A13">
        <v>1012</v>
      </c>
      <c r="B13" t="s">
        <v>72</v>
      </c>
      <c r="C13" t="s">
        <v>44</v>
      </c>
      <c r="D13" t="s">
        <v>54</v>
      </c>
      <c r="E13" t="s">
        <v>55</v>
      </c>
      <c r="F13" t="s">
        <v>22</v>
      </c>
      <c r="G13">
        <v>3.4</v>
      </c>
      <c r="H13">
        <v>59294</v>
      </c>
      <c r="I13" t="s">
        <v>73</v>
      </c>
      <c r="J13">
        <v>93.9</v>
      </c>
      <c r="K13">
        <v>25.4</v>
      </c>
      <c r="L13">
        <v>82.8</v>
      </c>
      <c r="M13">
        <v>70</v>
      </c>
      <c r="N13">
        <v>53</v>
      </c>
      <c r="O13">
        <v>3</v>
      </c>
      <c r="P13">
        <v>18</v>
      </c>
      <c r="Q13" t="s">
        <v>24</v>
      </c>
      <c r="R13" t="s">
        <v>25</v>
      </c>
    </row>
    <row r="14" spans="1:18" x14ac:dyDescent="0.25">
      <c r="A14">
        <v>1013</v>
      </c>
      <c r="B14" t="s">
        <v>74</v>
      </c>
      <c r="C14" t="s">
        <v>27</v>
      </c>
      <c r="D14" t="s">
        <v>75</v>
      </c>
      <c r="E14" t="s">
        <v>29</v>
      </c>
      <c r="F14" t="s">
        <v>76</v>
      </c>
      <c r="G14">
        <v>9.3000000000000007</v>
      </c>
      <c r="H14">
        <v>85285</v>
      </c>
      <c r="I14" t="s">
        <v>77</v>
      </c>
      <c r="J14">
        <v>100</v>
      </c>
      <c r="K14">
        <v>4</v>
      </c>
      <c r="L14">
        <v>93.8</v>
      </c>
      <c r="M14">
        <v>70</v>
      </c>
      <c r="N14">
        <v>68</v>
      </c>
      <c r="O14">
        <v>4</v>
      </c>
      <c r="P14">
        <v>16</v>
      </c>
      <c r="Q14" t="s">
        <v>42</v>
      </c>
      <c r="R14" t="s">
        <v>62</v>
      </c>
    </row>
    <row r="15" spans="1:18" x14ac:dyDescent="0.25">
      <c r="A15">
        <v>1014</v>
      </c>
      <c r="B15" t="s">
        <v>78</v>
      </c>
      <c r="C15" t="s">
        <v>27</v>
      </c>
      <c r="D15" t="s">
        <v>75</v>
      </c>
      <c r="E15" t="s">
        <v>29</v>
      </c>
      <c r="F15" t="s">
        <v>76</v>
      </c>
      <c r="G15">
        <v>7.3</v>
      </c>
      <c r="H15">
        <v>94963</v>
      </c>
      <c r="I15" t="s">
        <v>79</v>
      </c>
      <c r="J15">
        <v>97.2</v>
      </c>
      <c r="K15">
        <v>0</v>
      </c>
      <c r="L15">
        <v>86</v>
      </c>
      <c r="M15">
        <v>81</v>
      </c>
      <c r="N15">
        <v>65</v>
      </c>
      <c r="O15">
        <v>1</v>
      </c>
      <c r="P15">
        <v>4</v>
      </c>
      <c r="Q15" t="s">
        <v>42</v>
      </c>
      <c r="R15" t="s">
        <v>25</v>
      </c>
    </row>
    <row r="16" spans="1:18" x14ac:dyDescent="0.25">
      <c r="A16">
        <v>1015</v>
      </c>
      <c r="B16" t="s">
        <v>80</v>
      </c>
      <c r="C16" t="s">
        <v>19</v>
      </c>
      <c r="D16" t="s">
        <v>81</v>
      </c>
      <c r="E16" t="s">
        <v>82</v>
      </c>
      <c r="F16" t="s">
        <v>35</v>
      </c>
      <c r="G16">
        <v>3.3</v>
      </c>
      <c r="H16">
        <v>55418</v>
      </c>
      <c r="I16" t="s">
        <v>83</v>
      </c>
      <c r="J16">
        <v>98.2</v>
      </c>
      <c r="K16">
        <v>24.5</v>
      </c>
      <c r="L16">
        <v>92.7</v>
      </c>
      <c r="M16">
        <v>61</v>
      </c>
      <c r="N16">
        <v>54</v>
      </c>
      <c r="O16">
        <v>1</v>
      </c>
      <c r="P16">
        <v>16</v>
      </c>
      <c r="Q16" t="s">
        <v>24</v>
      </c>
      <c r="R16" t="s">
        <v>62</v>
      </c>
    </row>
    <row r="17" spans="1:18" x14ac:dyDescent="0.25">
      <c r="A17">
        <v>1016</v>
      </c>
      <c r="B17" t="s">
        <v>84</v>
      </c>
      <c r="C17" t="s">
        <v>27</v>
      </c>
      <c r="D17" t="s">
        <v>75</v>
      </c>
      <c r="E17" t="s">
        <v>85</v>
      </c>
      <c r="F17" t="s">
        <v>86</v>
      </c>
      <c r="G17">
        <v>8.8000000000000007</v>
      </c>
      <c r="H17">
        <v>92365</v>
      </c>
      <c r="I17" t="s">
        <v>87</v>
      </c>
      <c r="J17">
        <v>97.8</v>
      </c>
      <c r="K17">
        <v>16.899999999999999</v>
      </c>
      <c r="L17">
        <v>82.7</v>
      </c>
      <c r="M17">
        <v>78</v>
      </c>
      <c r="N17">
        <v>59</v>
      </c>
      <c r="O17">
        <v>2</v>
      </c>
      <c r="P17">
        <v>8</v>
      </c>
      <c r="Q17" t="s">
        <v>42</v>
      </c>
      <c r="R17" t="s">
        <v>25</v>
      </c>
    </row>
    <row r="18" spans="1:18" x14ac:dyDescent="0.25">
      <c r="A18">
        <v>1017</v>
      </c>
      <c r="B18" t="s">
        <v>88</v>
      </c>
      <c r="C18" t="s">
        <v>89</v>
      </c>
      <c r="D18" t="s">
        <v>90</v>
      </c>
      <c r="E18" t="s">
        <v>91</v>
      </c>
      <c r="F18" t="s">
        <v>76</v>
      </c>
      <c r="G18">
        <v>4.7</v>
      </c>
      <c r="H18">
        <v>63989</v>
      </c>
      <c r="I18" t="s">
        <v>92</v>
      </c>
      <c r="J18">
        <v>96.2</v>
      </c>
      <c r="K18">
        <v>8.4</v>
      </c>
      <c r="L18">
        <v>89.8</v>
      </c>
      <c r="M18">
        <v>89</v>
      </c>
      <c r="N18">
        <v>70</v>
      </c>
      <c r="O18">
        <v>1</v>
      </c>
      <c r="P18">
        <v>11</v>
      </c>
      <c r="Q18" t="s">
        <v>42</v>
      </c>
      <c r="R18" t="s">
        <v>25</v>
      </c>
    </row>
    <row r="19" spans="1:18" x14ac:dyDescent="0.25">
      <c r="A19">
        <v>1018</v>
      </c>
      <c r="B19" t="s">
        <v>93</v>
      </c>
      <c r="C19" t="s">
        <v>32</v>
      </c>
      <c r="D19" t="s">
        <v>33</v>
      </c>
      <c r="E19" t="s">
        <v>94</v>
      </c>
      <c r="F19" t="s">
        <v>22</v>
      </c>
      <c r="G19">
        <v>6.5</v>
      </c>
      <c r="H19">
        <v>67949</v>
      </c>
      <c r="I19" t="s">
        <v>95</v>
      </c>
      <c r="J19">
        <v>100</v>
      </c>
      <c r="K19">
        <v>11</v>
      </c>
      <c r="L19">
        <v>81.599999999999994</v>
      </c>
      <c r="M19">
        <v>93</v>
      </c>
      <c r="N19">
        <v>84</v>
      </c>
      <c r="O19">
        <v>4</v>
      </c>
      <c r="P19">
        <v>20</v>
      </c>
      <c r="Q19" t="s">
        <v>42</v>
      </c>
      <c r="R19" t="s">
        <v>25</v>
      </c>
    </row>
    <row r="20" spans="1:18" x14ac:dyDescent="0.25">
      <c r="A20">
        <v>1019</v>
      </c>
      <c r="B20" t="s">
        <v>96</v>
      </c>
      <c r="C20" t="s">
        <v>44</v>
      </c>
      <c r="D20" t="s">
        <v>54</v>
      </c>
      <c r="E20" t="s">
        <v>97</v>
      </c>
      <c r="F20" t="s">
        <v>86</v>
      </c>
      <c r="G20">
        <v>5</v>
      </c>
      <c r="H20">
        <v>60909</v>
      </c>
      <c r="I20" t="s">
        <v>98</v>
      </c>
      <c r="J20">
        <v>83.7</v>
      </c>
      <c r="K20">
        <v>30.4</v>
      </c>
      <c r="L20">
        <v>73.599999999999994</v>
      </c>
      <c r="M20">
        <v>108</v>
      </c>
      <c r="N20">
        <v>74</v>
      </c>
      <c r="O20">
        <v>5</v>
      </c>
      <c r="P20">
        <v>20</v>
      </c>
      <c r="Q20" t="s">
        <v>37</v>
      </c>
      <c r="R20" t="s">
        <v>57</v>
      </c>
    </row>
    <row r="21" spans="1:18" x14ac:dyDescent="0.25">
      <c r="A21">
        <v>1020</v>
      </c>
      <c r="B21" t="s">
        <v>99</v>
      </c>
      <c r="C21" t="s">
        <v>32</v>
      </c>
      <c r="D21" t="s">
        <v>67</v>
      </c>
      <c r="E21" t="s">
        <v>94</v>
      </c>
      <c r="F21" t="s">
        <v>35</v>
      </c>
      <c r="G21">
        <v>6.7</v>
      </c>
      <c r="H21">
        <v>89661</v>
      </c>
      <c r="I21" t="s">
        <v>100</v>
      </c>
      <c r="J21">
        <v>85.7</v>
      </c>
      <c r="K21">
        <v>34.4</v>
      </c>
      <c r="L21">
        <v>74.400000000000006</v>
      </c>
      <c r="M21">
        <v>125</v>
      </c>
      <c r="N21">
        <v>99</v>
      </c>
      <c r="O21">
        <v>6</v>
      </c>
      <c r="P21">
        <v>21</v>
      </c>
      <c r="Q21" t="s">
        <v>37</v>
      </c>
      <c r="R21" t="s">
        <v>57</v>
      </c>
    </row>
    <row r="22" spans="1:18" x14ac:dyDescent="0.25">
      <c r="A22">
        <v>1021</v>
      </c>
      <c r="B22" t="s">
        <v>101</v>
      </c>
      <c r="C22" t="s">
        <v>89</v>
      </c>
      <c r="D22" t="s">
        <v>102</v>
      </c>
      <c r="E22" t="s">
        <v>91</v>
      </c>
      <c r="F22" t="s">
        <v>103</v>
      </c>
      <c r="G22">
        <v>5.2</v>
      </c>
      <c r="H22">
        <v>67196</v>
      </c>
      <c r="I22" t="s">
        <v>104</v>
      </c>
      <c r="J22">
        <v>90.6</v>
      </c>
      <c r="K22">
        <v>17.8</v>
      </c>
      <c r="L22">
        <v>81.7</v>
      </c>
      <c r="M22">
        <v>81</v>
      </c>
      <c r="N22">
        <v>71</v>
      </c>
      <c r="O22">
        <v>1</v>
      </c>
      <c r="P22">
        <v>17</v>
      </c>
      <c r="Q22" t="s">
        <v>42</v>
      </c>
      <c r="R22" t="s">
        <v>25</v>
      </c>
    </row>
    <row r="23" spans="1:18" x14ac:dyDescent="0.25">
      <c r="A23">
        <v>1022</v>
      </c>
      <c r="B23" t="s">
        <v>105</v>
      </c>
      <c r="C23" t="s">
        <v>32</v>
      </c>
      <c r="D23" t="s">
        <v>106</v>
      </c>
      <c r="E23" t="s">
        <v>94</v>
      </c>
      <c r="F23" t="s">
        <v>103</v>
      </c>
      <c r="G23">
        <v>5.4</v>
      </c>
      <c r="H23">
        <v>68798</v>
      </c>
      <c r="I23" t="s">
        <v>107</v>
      </c>
      <c r="J23">
        <v>87.3</v>
      </c>
      <c r="K23">
        <v>29.8</v>
      </c>
      <c r="L23">
        <v>85.1</v>
      </c>
      <c r="M23">
        <v>83</v>
      </c>
      <c r="N23">
        <v>57</v>
      </c>
      <c r="O23">
        <v>7</v>
      </c>
      <c r="P23">
        <v>10</v>
      </c>
      <c r="Q23" t="s">
        <v>37</v>
      </c>
      <c r="R23" t="s">
        <v>25</v>
      </c>
    </row>
    <row r="24" spans="1:18" x14ac:dyDescent="0.25">
      <c r="A24">
        <v>1023</v>
      </c>
      <c r="B24" t="s">
        <v>108</v>
      </c>
      <c r="C24" t="s">
        <v>19</v>
      </c>
      <c r="D24" t="s">
        <v>20</v>
      </c>
      <c r="E24" t="s">
        <v>82</v>
      </c>
      <c r="F24" t="s">
        <v>35</v>
      </c>
      <c r="G24">
        <v>4.8</v>
      </c>
      <c r="H24">
        <v>76833</v>
      </c>
      <c r="I24" t="s">
        <v>109</v>
      </c>
      <c r="J24">
        <v>90.7</v>
      </c>
      <c r="K24">
        <v>19.7</v>
      </c>
      <c r="L24">
        <v>88.9</v>
      </c>
      <c r="M24">
        <v>75</v>
      </c>
      <c r="N24">
        <v>68</v>
      </c>
      <c r="O24">
        <v>0</v>
      </c>
      <c r="P24">
        <v>12</v>
      </c>
      <c r="Q24" t="s">
        <v>42</v>
      </c>
      <c r="R24" t="s">
        <v>25</v>
      </c>
    </row>
    <row r="25" spans="1:18" x14ac:dyDescent="0.25">
      <c r="A25">
        <v>1024</v>
      </c>
      <c r="B25" t="s">
        <v>110</v>
      </c>
      <c r="C25" t="s">
        <v>89</v>
      </c>
      <c r="D25" t="s">
        <v>90</v>
      </c>
      <c r="E25" t="s">
        <v>111</v>
      </c>
      <c r="F25" t="s">
        <v>86</v>
      </c>
      <c r="G25">
        <v>2.7</v>
      </c>
      <c r="H25">
        <v>42987</v>
      </c>
      <c r="I25" t="s">
        <v>112</v>
      </c>
      <c r="J25">
        <v>94</v>
      </c>
      <c r="K25">
        <v>17.7</v>
      </c>
      <c r="L25">
        <v>82.2</v>
      </c>
      <c r="M25">
        <v>82</v>
      </c>
      <c r="N25">
        <v>63</v>
      </c>
      <c r="O25">
        <v>1</v>
      </c>
      <c r="P25">
        <v>14</v>
      </c>
      <c r="Q25" t="s">
        <v>42</v>
      </c>
      <c r="R25" t="s">
        <v>25</v>
      </c>
    </row>
    <row r="26" spans="1:18" x14ac:dyDescent="0.25">
      <c r="A26">
        <v>1025</v>
      </c>
      <c r="B26" t="s">
        <v>113</v>
      </c>
      <c r="C26" t="s">
        <v>27</v>
      </c>
      <c r="D26" t="s">
        <v>28</v>
      </c>
      <c r="E26" t="s">
        <v>29</v>
      </c>
      <c r="F26" t="s">
        <v>103</v>
      </c>
      <c r="G26">
        <v>3.2</v>
      </c>
      <c r="H26">
        <v>46890</v>
      </c>
      <c r="I26" t="s">
        <v>114</v>
      </c>
      <c r="J26">
        <v>91</v>
      </c>
      <c r="K26">
        <v>24.1</v>
      </c>
      <c r="L26">
        <v>80.3</v>
      </c>
      <c r="M26">
        <v>101</v>
      </c>
      <c r="N26">
        <v>87</v>
      </c>
      <c r="O26">
        <v>2</v>
      </c>
      <c r="P26">
        <v>7</v>
      </c>
      <c r="Q26" t="s">
        <v>42</v>
      </c>
      <c r="R26" t="s">
        <v>25</v>
      </c>
    </row>
    <row r="27" spans="1:18" x14ac:dyDescent="0.25">
      <c r="A27">
        <v>1026</v>
      </c>
      <c r="B27" t="s">
        <v>115</v>
      </c>
      <c r="C27" t="s">
        <v>19</v>
      </c>
      <c r="D27" t="s">
        <v>20</v>
      </c>
      <c r="E27" t="s">
        <v>82</v>
      </c>
      <c r="F27" t="s">
        <v>35</v>
      </c>
      <c r="G27">
        <v>3.2</v>
      </c>
      <c r="H27">
        <v>67266</v>
      </c>
      <c r="I27" t="s">
        <v>116</v>
      </c>
      <c r="J27">
        <v>88.7</v>
      </c>
      <c r="K27">
        <v>17.100000000000001</v>
      </c>
      <c r="L27">
        <v>85.4</v>
      </c>
      <c r="M27">
        <v>108</v>
      </c>
      <c r="N27">
        <v>86</v>
      </c>
      <c r="O27">
        <v>5</v>
      </c>
      <c r="P27">
        <v>23</v>
      </c>
      <c r="Q27" t="s">
        <v>42</v>
      </c>
      <c r="R27" t="s">
        <v>25</v>
      </c>
    </row>
    <row r="28" spans="1:18" x14ac:dyDescent="0.25">
      <c r="A28">
        <v>1027</v>
      </c>
      <c r="B28" t="s">
        <v>117</v>
      </c>
      <c r="C28" t="s">
        <v>27</v>
      </c>
      <c r="D28" t="s">
        <v>64</v>
      </c>
      <c r="E28" t="s">
        <v>118</v>
      </c>
      <c r="F28" t="s">
        <v>35</v>
      </c>
      <c r="G28">
        <v>1.6</v>
      </c>
      <c r="H28">
        <v>49055</v>
      </c>
      <c r="I28" t="s">
        <v>119</v>
      </c>
      <c r="J28">
        <v>92.3</v>
      </c>
      <c r="K28">
        <v>4.4000000000000004</v>
      </c>
      <c r="L28">
        <v>86.8</v>
      </c>
      <c r="M28">
        <v>43</v>
      </c>
      <c r="N28">
        <v>41</v>
      </c>
      <c r="O28">
        <v>3</v>
      </c>
      <c r="P28">
        <v>9</v>
      </c>
      <c r="Q28" t="s">
        <v>42</v>
      </c>
      <c r="R28" t="s">
        <v>25</v>
      </c>
    </row>
    <row r="29" spans="1:18" x14ac:dyDescent="0.25">
      <c r="A29">
        <v>1028</v>
      </c>
      <c r="B29" t="s">
        <v>120</v>
      </c>
      <c r="C29" t="s">
        <v>89</v>
      </c>
      <c r="D29" t="s">
        <v>121</v>
      </c>
      <c r="E29" t="s">
        <v>91</v>
      </c>
      <c r="F29" t="s">
        <v>22</v>
      </c>
      <c r="G29">
        <v>3.4</v>
      </c>
      <c r="H29">
        <v>52670</v>
      </c>
      <c r="I29" t="s">
        <v>122</v>
      </c>
      <c r="J29">
        <v>86.7</v>
      </c>
      <c r="K29">
        <v>27.3</v>
      </c>
      <c r="L29">
        <v>88</v>
      </c>
      <c r="M29">
        <v>102</v>
      </c>
      <c r="N29">
        <v>76</v>
      </c>
      <c r="O29">
        <v>3</v>
      </c>
      <c r="P29">
        <v>21</v>
      </c>
      <c r="Q29" t="s">
        <v>24</v>
      </c>
      <c r="R29" t="s">
        <v>25</v>
      </c>
    </row>
    <row r="30" spans="1:18" x14ac:dyDescent="0.25">
      <c r="A30">
        <v>1029</v>
      </c>
      <c r="B30" t="s">
        <v>123</v>
      </c>
      <c r="C30" t="s">
        <v>32</v>
      </c>
      <c r="D30" t="s">
        <v>106</v>
      </c>
      <c r="E30" t="s">
        <v>94</v>
      </c>
      <c r="F30" t="s">
        <v>86</v>
      </c>
      <c r="G30">
        <v>2.8</v>
      </c>
      <c r="H30">
        <v>64465</v>
      </c>
      <c r="I30" t="s">
        <v>124</v>
      </c>
      <c r="J30">
        <v>96.6</v>
      </c>
      <c r="K30">
        <v>25.7</v>
      </c>
      <c r="L30">
        <v>80.599999999999994</v>
      </c>
      <c r="M30">
        <v>119</v>
      </c>
      <c r="N30">
        <v>100</v>
      </c>
      <c r="O30">
        <v>3</v>
      </c>
      <c r="P30">
        <v>23</v>
      </c>
      <c r="Q30" t="s">
        <v>37</v>
      </c>
      <c r="R30" t="s">
        <v>25</v>
      </c>
    </row>
    <row r="31" spans="1:18" x14ac:dyDescent="0.25">
      <c r="A31">
        <v>1030</v>
      </c>
      <c r="B31" t="s">
        <v>125</v>
      </c>
      <c r="C31" t="s">
        <v>27</v>
      </c>
      <c r="D31" t="s">
        <v>64</v>
      </c>
      <c r="E31" t="s">
        <v>118</v>
      </c>
      <c r="F31" t="s">
        <v>40</v>
      </c>
      <c r="G31">
        <v>6.7</v>
      </c>
      <c r="H31">
        <v>91200</v>
      </c>
      <c r="I31" t="s">
        <v>126</v>
      </c>
      <c r="J31">
        <v>95.8</v>
      </c>
      <c r="K31">
        <v>10.3</v>
      </c>
      <c r="L31">
        <v>73.5</v>
      </c>
      <c r="M31">
        <v>72</v>
      </c>
      <c r="N31">
        <v>54</v>
      </c>
      <c r="O31">
        <v>5</v>
      </c>
      <c r="P31">
        <v>2</v>
      </c>
      <c r="Q31" t="s">
        <v>24</v>
      </c>
      <c r="R31" t="s">
        <v>57</v>
      </c>
    </row>
    <row r="32" spans="1:18" x14ac:dyDescent="0.25">
      <c r="A32">
        <v>1031</v>
      </c>
      <c r="B32" t="s">
        <v>127</v>
      </c>
      <c r="C32" t="s">
        <v>32</v>
      </c>
      <c r="D32" t="s">
        <v>106</v>
      </c>
      <c r="E32" t="s">
        <v>128</v>
      </c>
      <c r="F32" t="s">
        <v>40</v>
      </c>
      <c r="G32">
        <v>1.5</v>
      </c>
      <c r="H32">
        <v>42325</v>
      </c>
      <c r="I32" t="s">
        <v>129</v>
      </c>
      <c r="J32">
        <v>97.8</v>
      </c>
      <c r="K32">
        <v>29.6</v>
      </c>
      <c r="L32">
        <v>86.6</v>
      </c>
      <c r="M32">
        <v>109</v>
      </c>
      <c r="N32">
        <v>94</v>
      </c>
      <c r="O32">
        <v>3</v>
      </c>
      <c r="P32">
        <v>13</v>
      </c>
      <c r="Q32" t="s">
        <v>37</v>
      </c>
      <c r="R32" t="s">
        <v>25</v>
      </c>
    </row>
    <row r="33" spans="1:18" x14ac:dyDescent="0.25">
      <c r="A33">
        <v>1032</v>
      </c>
      <c r="B33" t="s">
        <v>130</v>
      </c>
      <c r="C33" t="s">
        <v>27</v>
      </c>
      <c r="D33" t="s">
        <v>28</v>
      </c>
      <c r="E33" t="s">
        <v>118</v>
      </c>
      <c r="F33" t="s">
        <v>40</v>
      </c>
      <c r="G33">
        <v>3.7</v>
      </c>
      <c r="H33">
        <v>59455</v>
      </c>
      <c r="I33" t="s">
        <v>131</v>
      </c>
      <c r="J33">
        <v>96.5</v>
      </c>
      <c r="K33">
        <v>6</v>
      </c>
      <c r="L33">
        <v>92.4</v>
      </c>
      <c r="M33">
        <v>89</v>
      </c>
      <c r="N33">
        <v>87</v>
      </c>
      <c r="O33">
        <v>0</v>
      </c>
      <c r="P33">
        <v>16</v>
      </c>
      <c r="Q33" t="s">
        <v>42</v>
      </c>
      <c r="R33" t="s">
        <v>62</v>
      </c>
    </row>
    <row r="34" spans="1:18" x14ac:dyDescent="0.25">
      <c r="A34">
        <v>1033</v>
      </c>
      <c r="B34" t="s">
        <v>132</v>
      </c>
      <c r="C34" t="s">
        <v>32</v>
      </c>
      <c r="D34" t="s">
        <v>106</v>
      </c>
      <c r="E34" t="s">
        <v>128</v>
      </c>
      <c r="F34" t="s">
        <v>103</v>
      </c>
      <c r="G34">
        <v>0.2</v>
      </c>
      <c r="H34">
        <v>44802</v>
      </c>
      <c r="I34" t="s">
        <v>133</v>
      </c>
      <c r="J34">
        <v>92.9</v>
      </c>
      <c r="K34">
        <v>37.700000000000003</v>
      </c>
      <c r="L34">
        <v>91</v>
      </c>
      <c r="M34">
        <v>122</v>
      </c>
      <c r="N34">
        <v>100</v>
      </c>
      <c r="O34">
        <v>4</v>
      </c>
      <c r="P34">
        <v>19</v>
      </c>
      <c r="Q34" t="s">
        <v>37</v>
      </c>
      <c r="R34" t="s">
        <v>62</v>
      </c>
    </row>
    <row r="35" spans="1:18" x14ac:dyDescent="0.25">
      <c r="A35">
        <v>1034</v>
      </c>
      <c r="B35" t="s">
        <v>134</v>
      </c>
      <c r="C35" t="s">
        <v>27</v>
      </c>
      <c r="D35" t="s">
        <v>75</v>
      </c>
      <c r="E35" t="s">
        <v>85</v>
      </c>
      <c r="F35" t="s">
        <v>86</v>
      </c>
      <c r="G35">
        <v>2.1</v>
      </c>
      <c r="H35">
        <v>53621</v>
      </c>
      <c r="I35" t="s">
        <v>135</v>
      </c>
      <c r="J35">
        <v>93.4</v>
      </c>
      <c r="K35">
        <v>18.8</v>
      </c>
      <c r="L35">
        <v>80.599999999999994</v>
      </c>
      <c r="M35">
        <v>78</v>
      </c>
      <c r="N35">
        <v>61</v>
      </c>
      <c r="O35">
        <v>0</v>
      </c>
      <c r="P35">
        <v>13</v>
      </c>
      <c r="Q35" t="s">
        <v>24</v>
      </c>
      <c r="R35" t="s">
        <v>25</v>
      </c>
    </row>
    <row r="36" spans="1:18" x14ac:dyDescent="0.25">
      <c r="A36">
        <v>1035</v>
      </c>
      <c r="B36" t="s">
        <v>136</v>
      </c>
      <c r="C36" t="s">
        <v>19</v>
      </c>
      <c r="D36" t="s">
        <v>137</v>
      </c>
      <c r="E36" t="s">
        <v>21</v>
      </c>
      <c r="F36" t="s">
        <v>103</v>
      </c>
      <c r="G36">
        <v>3</v>
      </c>
      <c r="H36">
        <v>62650</v>
      </c>
      <c r="I36" t="s">
        <v>138</v>
      </c>
      <c r="J36">
        <v>91</v>
      </c>
      <c r="K36">
        <v>14.2</v>
      </c>
      <c r="L36">
        <v>83.5</v>
      </c>
      <c r="M36">
        <v>70</v>
      </c>
      <c r="N36">
        <v>65</v>
      </c>
      <c r="O36">
        <v>3</v>
      </c>
      <c r="P36">
        <v>17</v>
      </c>
      <c r="Q36" t="s">
        <v>24</v>
      </c>
      <c r="R36" t="s">
        <v>25</v>
      </c>
    </row>
    <row r="37" spans="1:18" x14ac:dyDescent="0.25">
      <c r="A37">
        <v>1036</v>
      </c>
      <c r="B37" t="s">
        <v>139</v>
      </c>
      <c r="C37" t="s">
        <v>49</v>
      </c>
      <c r="D37" t="s">
        <v>59</v>
      </c>
      <c r="E37" t="s">
        <v>60</v>
      </c>
      <c r="F37" t="s">
        <v>22</v>
      </c>
      <c r="G37">
        <v>1.8</v>
      </c>
      <c r="H37">
        <v>47217</v>
      </c>
      <c r="I37" t="s">
        <v>140</v>
      </c>
      <c r="J37">
        <v>92.1</v>
      </c>
      <c r="K37">
        <v>18.399999999999999</v>
      </c>
      <c r="L37">
        <v>73.599999999999994</v>
      </c>
      <c r="M37">
        <v>53</v>
      </c>
      <c r="N37">
        <v>38</v>
      </c>
      <c r="O37">
        <v>7</v>
      </c>
      <c r="P37">
        <v>5</v>
      </c>
      <c r="Q37" t="s">
        <v>24</v>
      </c>
      <c r="R37" t="s">
        <v>57</v>
      </c>
    </row>
    <row r="38" spans="1:18" x14ac:dyDescent="0.25">
      <c r="A38">
        <v>1037</v>
      </c>
      <c r="B38" t="s">
        <v>141</v>
      </c>
      <c r="C38" t="s">
        <v>27</v>
      </c>
      <c r="D38" t="s">
        <v>64</v>
      </c>
      <c r="E38" t="s">
        <v>29</v>
      </c>
      <c r="F38" t="s">
        <v>40</v>
      </c>
      <c r="G38">
        <v>1.9</v>
      </c>
      <c r="H38">
        <v>57108</v>
      </c>
      <c r="I38" t="s">
        <v>142</v>
      </c>
      <c r="J38">
        <v>88</v>
      </c>
      <c r="K38">
        <v>7.1</v>
      </c>
      <c r="L38">
        <v>93.1</v>
      </c>
      <c r="M38">
        <v>75</v>
      </c>
      <c r="N38">
        <v>65</v>
      </c>
      <c r="O38">
        <v>4</v>
      </c>
      <c r="P38">
        <v>15</v>
      </c>
      <c r="Q38" t="s">
        <v>42</v>
      </c>
      <c r="R38" t="s">
        <v>62</v>
      </c>
    </row>
    <row r="39" spans="1:18" x14ac:dyDescent="0.25">
      <c r="A39">
        <v>1038</v>
      </c>
      <c r="B39" t="s">
        <v>143</v>
      </c>
      <c r="C39" t="s">
        <v>89</v>
      </c>
      <c r="D39" t="s">
        <v>102</v>
      </c>
      <c r="E39" t="s">
        <v>111</v>
      </c>
      <c r="F39" t="s">
        <v>76</v>
      </c>
      <c r="G39">
        <v>8.6</v>
      </c>
      <c r="H39">
        <v>89077</v>
      </c>
      <c r="I39" t="s">
        <v>144</v>
      </c>
      <c r="J39">
        <v>82.9</v>
      </c>
      <c r="K39">
        <v>28.5</v>
      </c>
      <c r="L39">
        <v>90.6</v>
      </c>
      <c r="M39">
        <v>96</v>
      </c>
      <c r="N39">
        <v>93</v>
      </c>
      <c r="O39">
        <v>4</v>
      </c>
      <c r="P39">
        <v>19</v>
      </c>
      <c r="Q39" t="s">
        <v>24</v>
      </c>
      <c r="R39" t="s">
        <v>62</v>
      </c>
    </row>
    <row r="40" spans="1:18" x14ac:dyDescent="0.25">
      <c r="A40">
        <v>1039</v>
      </c>
      <c r="B40" t="s">
        <v>145</v>
      </c>
      <c r="C40" t="s">
        <v>89</v>
      </c>
      <c r="D40" t="s">
        <v>102</v>
      </c>
      <c r="E40" t="s">
        <v>91</v>
      </c>
      <c r="F40" t="s">
        <v>76</v>
      </c>
      <c r="G40">
        <v>4.3</v>
      </c>
      <c r="H40">
        <v>58368</v>
      </c>
      <c r="I40" t="s">
        <v>146</v>
      </c>
      <c r="J40">
        <v>91.3</v>
      </c>
      <c r="K40">
        <v>2.2000000000000002</v>
      </c>
      <c r="L40">
        <v>96.3</v>
      </c>
      <c r="M40">
        <v>36</v>
      </c>
      <c r="N40">
        <v>36</v>
      </c>
      <c r="O40">
        <v>2</v>
      </c>
      <c r="P40">
        <v>13</v>
      </c>
      <c r="Q40" t="s">
        <v>42</v>
      </c>
      <c r="R40" t="s">
        <v>62</v>
      </c>
    </row>
    <row r="41" spans="1:18" x14ac:dyDescent="0.25">
      <c r="A41">
        <v>1040</v>
      </c>
      <c r="B41" t="s">
        <v>147</v>
      </c>
      <c r="C41" t="s">
        <v>32</v>
      </c>
      <c r="D41" t="s">
        <v>106</v>
      </c>
      <c r="E41" t="s">
        <v>128</v>
      </c>
      <c r="F41" t="s">
        <v>22</v>
      </c>
      <c r="G41">
        <v>3.2</v>
      </c>
      <c r="H41">
        <v>61165</v>
      </c>
      <c r="I41" t="s">
        <v>148</v>
      </c>
      <c r="J41">
        <v>92.3</v>
      </c>
      <c r="K41">
        <v>15.2</v>
      </c>
      <c r="L41">
        <v>85.6</v>
      </c>
      <c r="M41">
        <v>86</v>
      </c>
      <c r="N41">
        <v>66</v>
      </c>
      <c r="O41">
        <v>0</v>
      </c>
      <c r="P41">
        <v>8</v>
      </c>
      <c r="Q41" t="s">
        <v>24</v>
      </c>
      <c r="R41" t="s">
        <v>25</v>
      </c>
    </row>
    <row r="42" spans="1:18" x14ac:dyDescent="0.25">
      <c r="A42">
        <v>1041</v>
      </c>
      <c r="B42" t="s">
        <v>149</v>
      </c>
      <c r="C42" t="s">
        <v>27</v>
      </c>
      <c r="D42" t="s">
        <v>28</v>
      </c>
      <c r="E42" t="s">
        <v>118</v>
      </c>
      <c r="F42" t="s">
        <v>103</v>
      </c>
      <c r="G42">
        <v>9.1</v>
      </c>
      <c r="H42">
        <v>99689</v>
      </c>
      <c r="I42" t="s">
        <v>150</v>
      </c>
      <c r="J42">
        <v>86.9</v>
      </c>
      <c r="K42">
        <v>7.1</v>
      </c>
      <c r="L42">
        <v>91.1</v>
      </c>
      <c r="M42">
        <v>35</v>
      </c>
      <c r="N42">
        <v>32</v>
      </c>
      <c r="O42">
        <v>1</v>
      </c>
      <c r="P42">
        <v>14</v>
      </c>
      <c r="Q42" t="s">
        <v>42</v>
      </c>
      <c r="R42" t="s">
        <v>62</v>
      </c>
    </row>
    <row r="43" spans="1:18" x14ac:dyDescent="0.25">
      <c r="A43">
        <v>1042</v>
      </c>
      <c r="B43" t="s">
        <v>151</v>
      </c>
      <c r="C43" t="s">
        <v>89</v>
      </c>
      <c r="D43" t="s">
        <v>121</v>
      </c>
      <c r="E43" t="s">
        <v>152</v>
      </c>
      <c r="F43" t="s">
        <v>86</v>
      </c>
      <c r="G43">
        <v>0.2</v>
      </c>
      <c r="H43">
        <v>28000</v>
      </c>
      <c r="I43" t="s">
        <v>153</v>
      </c>
      <c r="J43">
        <v>95.7</v>
      </c>
      <c r="K43">
        <v>5.3</v>
      </c>
      <c r="L43">
        <v>86.4</v>
      </c>
      <c r="M43">
        <v>65</v>
      </c>
      <c r="N43">
        <v>52</v>
      </c>
      <c r="O43">
        <v>0</v>
      </c>
      <c r="P43">
        <v>17</v>
      </c>
      <c r="Q43" t="s">
        <v>42</v>
      </c>
      <c r="R43" t="s">
        <v>25</v>
      </c>
    </row>
    <row r="44" spans="1:18" x14ac:dyDescent="0.25">
      <c r="A44">
        <v>1043</v>
      </c>
      <c r="B44" t="s">
        <v>154</v>
      </c>
      <c r="C44" t="s">
        <v>27</v>
      </c>
      <c r="D44" t="s">
        <v>64</v>
      </c>
      <c r="E44" t="s">
        <v>29</v>
      </c>
      <c r="F44" t="s">
        <v>103</v>
      </c>
      <c r="G44">
        <v>6.2</v>
      </c>
      <c r="H44">
        <v>72848</v>
      </c>
      <c r="I44" t="s">
        <v>155</v>
      </c>
      <c r="J44">
        <v>86.5</v>
      </c>
      <c r="K44">
        <v>13.8</v>
      </c>
      <c r="L44">
        <v>77.8</v>
      </c>
      <c r="M44">
        <v>83</v>
      </c>
      <c r="N44">
        <v>56</v>
      </c>
      <c r="O44">
        <v>3</v>
      </c>
      <c r="P44">
        <v>11</v>
      </c>
      <c r="Q44" t="s">
        <v>37</v>
      </c>
      <c r="R44" t="s">
        <v>57</v>
      </c>
    </row>
    <row r="45" spans="1:18" x14ac:dyDescent="0.25">
      <c r="A45">
        <v>1044</v>
      </c>
      <c r="B45" t="s">
        <v>156</v>
      </c>
      <c r="C45" t="s">
        <v>32</v>
      </c>
      <c r="D45" t="s">
        <v>33</v>
      </c>
      <c r="E45" t="s">
        <v>94</v>
      </c>
      <c r="F45" t="s">
        <v>22</v>
      </c>
      <c r="G45">
        <v>6.8</v>
      </c>
      <c r="H45">
        <v>88936</v>
      </c>
      <c r="I45" t="s">
        <v>157</v>
      </c>
      <c r="J45">
        <v>92.4</v>
      </c>
      <c r="K45">
        <v>23.9</v>
      </c>
      <c r="L45">
        <v>72.2</v>
      </c>
      <c r="M45">
        <v>113</v>
      </c>
      <c r="N45">
        <v>71</v>
      </c>
      <c r="O45">
        <v>4</v>
      </c>
      <c r="P45">
        <v>4</v>
      </c>
      <c r="Q45" t="s">
        <v>37</v>
      </c>
      <c r="R45" t="s">
        <v>57</v>
      </c>
    </row>
    <row r="46" spans="1:18" x14ac:dyDescent="0.25">
      <c r="A46">
        <v>1045</v>
      </c>
      <c r="B46" t="s">
        <v>158</v>
      </c>
      <c r="C46" t="s">
        <v>32</v>
      </c>
      <c r="D46" t="s">
        <v>106</v>
      </c>
      <c r="E46" t="s">
        <v>34</v>
      </c>
      <c r="F46" t="s">
        <v>86</v>
      </c>
      <c r="G46">
        <v>2.2000000000000002</v>
      </c>
      <c r="H46">
        <v>56674</v>
      </c>
      <c r="I46" t="s">
        <v>159</v>
      </c>
      <c r="J46">
        <v>100</v>
      </c>
      <c r="K46">
        <v>16.5</v>
      </c>
      <c r="L46">
        <v>94.8</v>
      </c>
      <c r="M46">
        <v>118</v>
      </c>
      <c r="N46">
        <v>103</v>
      </c>
      <c r="O46">
        <v>0</v>
      </c>
      <c r="P46">
        <v>22</v>
      </c>
      <c r="Q46" t="s">
        <v>24</v>
      </c>
      <c r="R46" t="s">
        <v>62</v>
      </c>
    </row>
    <row r="47" spans="1:18" x14ac:dyDescent="0.25">
      <c r="A47">
        <v>1046</v>
      </c>
      <c r="B47" t="s">
        <v>160</v>
      </c>
      <c r="C47" t="s">
        <v>44</v>
      </c>
      <c r="D47" t="s">
        <v>45</v>
      </c>
      <c r="E47" t="s">
        <v>46</v>
      </c>
      <c r="F47" t="s">
        <v>35</v>
      </c>
      <c r="G47">
        <v>0.2</v>
      </c>
      <c r="H47">
        <v>40197</v>
      </c>
      <c r="I47" t="s">
        <v>161</v>
      </c>
      <c r="J47">
        <v>95</v>
      </c>
      <c r="K47">
        <v>11.1</v>
      </c>
      <c r="L47">
        <v>79.400000000000006</v>
      </c>
      <c r="M47">
        <v>93</v>
      </c>
      <c r="N47">
        <v>76</v>
      </c>
      <c r="O47">
        <v>3</v>
      </c>
      <c r="P47">
        <v>20</v>
      </c>
      <c r="Q47" t="s">
        <v>24</v>
      </c>
      <c r="R47" t="s">
        <v>57</v>
      </c>
    </row>
    <row r="48" spans="1:18" x14ac:dyDescent="0.25">
      <c r="A48">
        <v>1047</v>
      </c>
      <c r="B48" t="s">
        <v>162</v>
      </c>
      <c r="C48" t="s">
        <v>49</v>
      </c>
      <c r="D48" t="s">
        <v>59</v>
      </c>
      <c r="E48" t="s">
        <v>163</v>
      </c>
      <c r="F48" t="s">
        <v>40</v>
      </c>
      <c r="G48">
        <v>5.5</v>
      </c>
      <c r="H48">
        <v>69353</v>
      </c>
      <c r="I48" t="s">
        <v>164</v>
      </c>
      <c r="J48">
        <v>89.9</v>
      </c>
      <c r="K48">
        <v>33.6</v>
      </c>
      <c r="L48">
        <v>76.599999999999994</v>
      </c>
      <c r="M48">
        <v>67</v>
      </c>
      <c r="N48">
        <v>50</v>
      </c>
      <c r="O48">
        <v>3</v>
      </c>
      <c r="P48">
        <v>17</v>
      </c>
      <c r="Q48" t="s">
        <v>37</v>
      </c>
      <c r="R48" t="s">
        <v>57</v>
      </c>
    </row>
    <row r="49" spans="1:18" x14ac:dyDescent="0.25">
      <c r="A49">
        <v>1048</v>
      </c>
      <c r="B49" t="s">
        <v>165</v>
      </c>
      <c r="C49" t="s">
        <v>19</v>
      </c>
      <c r="D49" t="s">
        <v>81</v>
      </c>
      <c r="E49" t="s">
        <v>82</v>
      </c>
      <c r="F49" t="s">
        <v>86</v>
      </c>
      <c r="G49">
        <v>0.2</v>
      </c>
      <c r="H49">
        <v>40855</v>
      </c>
      <c r="I49" t="s">
        <v>166</v>
      </c>
      <c r="J49">
        <v>94.6</v>
      </c>
      <c r="K49">
        <v>11</v>
      </c>
      <c r="L49">
        <v>85</v>
      </c>
      <c r="M49">
        <v>58</v>
      </c>
      <c r="N49">
        <v>49</v>
      </c>
      <c r="O49">
        <v>4</v>
      </c>
      <c r="P49">
        <v>16</v>
      </c>
      <c r="Q49" t="s">
        <v>24</v>
      </c>
      <c r="R49" t="s">
        <v>25</v>
      </c>
    </row>
    <row r="50" spans="1:18" x14ac:dyDescent="0.25">
      <c r="A50">
        <v>1049</v>
      </c>
      <c r="B50" t="s">
        <v>167</v>
      </c>
      <c r="C50" t="s">
        <v>44</v>
      </c>
      <c r="D50" t="s">
        <v>70</v>
      </c>
      <c r="E50" t="s">
        <v>46</v>
      </c>
      <c r="F50" t="s">
        <v>86</v>
      </c>
      <c r="G50">
        <v>4.7</v>
      </c>
      <c r="H50">
        <v>63105</v>
      </c>
      <c r="I50" t="s">
        <v>168</v>
      </c>
      <c r="J50">
        <v>99.9</v>
      </c>
      <c r="K50">
        <v>16.2</v>
      </c>
      <c r="L50">
        <v>80</v>
      </c>
      <c r="M50">
        <v>92</v>
      </c>
      <c r="N50">
        <v>72</v>
      </c>
      <c r="O50">
        <v>1</v>
      </c>
      <c r="P50">
        <v>17</v>
      </c>
      <c r="Q50" t="s">
        <v>37</v>
      </c>
      <c r="R50" t="s">
        <v>25</v>
      </c>
    </row>
    <row r="51" spans="1:18" x14ac:dyDescent="0.25">
      <c r="A51">
        <v>1050</v>
      </c>
      <c r="B51" t="s">
        <v>169</v>
      </c>
      <c r="C51" t="s">
        <v>19</v>
      </c>
      <c r="D51" t="s">
        <v>137</v>
      </c>
      <c r="E51" t="s">
        <v>82</v>
      </c>
      <c r="F51" t="s">
        <v>35</v>
      </c>
      <c r="G51">
        <v>4.5</v>
      </c>
      <c r="H51">
        <v>59676</v>
      </c>
      <c r="I51" t="s">
        <v>170</v>
      </c>
      <c r="J51">
        <v>94.9</v>
      </c>
      <c r="K51">
        <v>18.8</v>
      </c>
      <c r="L51">
        <v>85.4</v>
      </c>
      <c r="M51">
        <v>105</v>
      </c>
      <c r="N51">
        <v>97</v>
      </c>
      <c r="O51">
        <v>0</v>
      </c>
      <c r="P51">
        <v>16</v>
      </c>
      <c r="Q51" t="s">
        <v>42</v>
      </c>
      <c r="R51" t="s">
        <v>25</v>
      </c>
    </row>
    <row r="52" spans="1:18" x14ac:dyDescent="0.25">
      <c r="A52">
        <v>1051</v>
      </c>
      <c r="B52" t="s">
        <v>171</v>
      </c>
      <c r="C52" t="s">
        <v>19</v>
      </c>
      <c r="D52" t="s">
        <v>81</v>
      </c>
      <c r="E52" t="s">
        <v>21</v>
      </c>
      <c r="F52" t="s">
        <v>86</v>
      </c>
      <c r="G52">
        <v>5.2</v>
      </c>
      <c r="H52">
        <v>77616</v>
      </c>
      <c r="I52" t="s">
        <v>172</v>
      </c>
      <c r="J52">
        <v>90.4</v>
      </c>
      <c r="K52">
        <v>8</v>
      </c>
      <c r="L52">
        <v>79.8</v>
      </c>
      <c r="M52">
        <v>96</v>
      </c>
      <c r="N52">
        <v>65</v>
      </c>
      <c r="O52">
        <v>4</v>
      </c>
      <c r="P52">
        <v>15</v>
      </c>
      <c r="Q52" t="s">
        <v>24</v>
      </c>
      <c r="R52" t="s">
        <v>57</v>
      </c>
    </row>
    <row r="53" spans="1:18" x14ac:dyDescent="0.25">
      <c r="A53">
        <v>1052</v>
      </c>
      <c r="B53" t="s">
        <v>173</v>
      </c>
      <c r="C53" t="s">
        <v>27</v>
      </c>
      <c r="D53" t="s">
        <v>64</v>
      </c>
      <c r="E53" t="s">
        <v>29</v>
      </c>
      <c r="F53" t="s">
        <v>76</v>
      </c>
      <c r="G53">
        <v>6.2</v>
      </c>
      <c r="H53">
        <v>72068</v>
      </c>
      <c r="I53" t="s">
        <v>174</v>
      </c>
      <c r="J53">
        <v>92</v>
      </c>
      <c r="K53">
        <v>0</v>
      </c>
      <c r="L53">
        <v>92.1</v>
      </c>
      <c r="M53">
        <v>69</v>
      </c>
      <c r="N53">
        <v>60</v>
      </c>
      <c r="O53">
        <v>1</v>
      </c>
      <c r="P53">
        <v>16</v>
      </c>
      <c r="Q53" t="s">
        <v>42</v>
      </c>
      <c r="R53" t="s">
        <v>62</v>
      </c>
    </row>
    <row r="54" spans="1:18" x14ac:dyDescent="0.25">
      <c r="A54">
        <v>1053</v>
      </c>
      <c r="B54" t="s">
        <v>175</v>
      </c>
      <c r="C54" t="s">
        <v>49</v>
      </c>
      <c r="D54" t="s">
        <v>50</v>
      </c>
      <c r="E54" t="s">
        <v>60</v>
      </c>
      <c r="F54" t="s">
        <v>76</v>
      </c>
      <c r="G54">
        <v>3.2</v>
      </c>
      <c r="H54">
        <v>68545</v>
      </c>
      <c r="I54" t="s">
        <v>176</v>
      </c>
      <c r="J54">
        <v>92.5</v>
      </c>
      <c r="K54">
        <v>14.4</v>
      </c>
      <c r="L54">
        <v>97</v>
      </c>
      <c r="M54">
        <v>77</v>
      </c>
      <c r="N54">
        <v>76</v>
      </c>
      <c r="O54">
        <v>0</v>
      </c>
      <c r="P54">
        <v>19</v>
      </c>
      <c r="Q54" t="s">
        <v>42</v>
      </c>
      <c r="R54" t="s">
        <v>62</v>
      </c>
    </row>
    <row r="55" spans="1:18" x14ac:dyDescent="0.25">
      <c r="A55">
        <v>1054</v>
      </c>
      <c r="B55" t="s">
        <v>177</v>
      </c>
      <c r="C55" t="s">
        <v>49</v>
      </c>
      <c r="D55" t="s">
        <v>178</v>
      </c>
      <c r="E55" t="s">
        <v>51</v>
      </c>
      <c r="F55" t="s">
        <v>35</v>
      </c>
      <c r="G55">
        <v>0.2</v>
      </c>
      <c r="H55">
        <v>50819</v>
      </c>
      <c r="I55" t="s">
        <v>179</v>
      </c>
      <c r="J55">
        <v>93.5</v>
      </c>
      <c r="K55">
        <v>17.7</v>
      </c>
      <c r="L55">
        <v>91</v>
      </c>
      <c r="M55">
        <v>64</v>
      </c>
      <c r="N55">
        <v>57</v>
      </c>
      <c r="O55">
        <v>2</v>
      </c>
      <c r="P55">
        <v>21</v>
      </c>
      <c r="Q55" t="s">
        <v>42</v>
      </c>
      <c r="R55" t="s">
        <v>62</v>
      </c>
    </row>
    <row r="56" spans="1:18" x14ac:dyDescent="0.25">
      <c r="A56">
        <v>1055</v>
      </c>
      <c r="B56" t="s">
        <v>180</v>
      </c>
      <c r="C56" t="s">
        <v>32</v>
      </c>
      <c r="D56" t="s">
        <v>67</v>
      </c>
      <c r="E56" t="s">
        <v>94</v>
      </c>
      <c r="F56" t="s">
        <v>35</v>
      </c>
      <c r="G56">
        <v>5</v>
      </c>
      <c r="H56">
        <v>69423</v>
      </c>
      <c r="I56" t="s">
        <v>181</v>
      </c>
      <c r="J56">
        <v>90.7</v>
      </c>
      <c r="K56">
        <v>8.6999999999999993</v>
      </c>
      <c r="L56">
        <v>74.099999999999994</v>
      </c>
      <c r="M56">
        <v>74</v>
      </c>
      <c r="N56">
        <v>52</v>
      </c>
      <c r="O56">
        <v>3</v>
      </c>
      <c r="P56">
        <v>11</v>
      </c>
      <c r="Q56" t="s">
        <v>37</v>
      </c>
      <c r="R56" t="s">
        <v>57</v>
      </c>
    </row>
    <row r="57" spans="1:18" x14ac:dyDescent="0.25">
      <c r="A57">
        <v>1056</v>
      </c>
      <c r="B57" t="s">
        <v>182</v>
      </c>
      <c r="C57" t="s">
        <v>27</v>
      </c>
      <c r="D57" t="s">
        <v>75</v>
      </c>
      <c r="E57" t="s">
        <v>85</v>
      </c>
      <c r="F57" t="s">
        <v>40</v>
      </c>
      <c r="G57">
        <v>8.8000000000000007</v>
      </c>
      <c r="H57">
        <v>93629</v>
      </c>
      <c r="I57" t="s">
        <v>183</v>
      </c>
      <c r="J57">
        <v>88.7</v>
      </c>
      <c r="K57">
        <v>16.7</v>
      </c>
      <c r="L57">
        <v>87.5</v>
      </c>
      <c r="M57">
        <v>88</v>
      </c>
      <c r="N57">
        <v>73</v>
      </c>
      <c r="O57">
        <v>0</v>
      </c>
      <c r="P57">
        <v>12</v>
      </c>
      <c r="Q57" t="s">
        <v>42</v>
      </c>
      <c r="R57" t="s">
        <v>25</v>
      </c>
    </row>
    <row r="58" spans="1:18" x14ac:dyDescent="0.25">
      <c r="A58">
        <v>1057</v>
      </c>
      <c r="B58" t="s">
        <v>184</v>
      </c>
      <c r="C58" t="s">
        <v>49</v>
      </c>
      <c r="D58" t="s">
        <v>50</v>
      </c>
      <c r="E58" t="s">
        <v>51</v>
      </c>
      <c r="F58" t="s">
        <v>35</v>
      </c>
      <c r="G58">
        <v>7.1</v>
      </c>
      <c r="H58">
        <v>79508</v>
      </c>
      <c r="I58" t="s">
        <v>185</v>
      </c>
      <c r="J58">
        <v>97.3</v>
      </c>
      <c r="K58">
        <v>8.4</v>
      </c>
      <c r="L58">
        <v>82.6</v>
      </c>
      <c r="M58">
        <v>71</v>
      </c>
      <c r="N58">
        <v>58</v>
      </c>
      <c r="O58">
        <v>2</v>
      </c>
      <c r="P58">
        <v>13</v>
      </c>
      <c r="Q58" t="s">
        <v>42</v>
      </c>
      <c r="R58" t="s">
        <v>25</v>
      </c>
    </row>
    <row r="59" spans="1:18" x14ac:dyDescent="0.25">
      <c r="A59">
        <v>1058</v>
      </c>
      <c r="B59" t="s">
        <v>186</v>
      </c>
      <c r="C59" t="s">
        <v>44</v>
      </c>
      <c r="D59" t="s">
        <v>45</v>
      </c>
      <c r="E59" t="s">
        <v>55</v>
      </c>
      <c r="F59" t="s">
        <v>76</v>
      </c>
      <c r="G59">
        <v>5.2</v>
      </c>
      <c r="H59">
        <v>68861</v>
      </c>
      <c r="I59" t="s">
        <v>187</v>
      </c>
      <c r="J59">
        <v>98.3</v>
      </c>
      <c r="K59">
        <v>21.2</v>
      </c>
      <c r="L59">
        <v>76.5</v>
      </c>
      <c r="M59">
        <v>107</v>
      </c>
      <c r="N59">
        <v>81</v>
      </c>
      <c r="O59">
        <v>3</v>
      </c>
      <c r="P59">
        <v>19</v>
      </c>
      <c r="Q59" t="s">
        <v>24</v>
      </c>
      <c r="R59" t="s">
        <v>57</v>
      </c>
    </row>
    <row r="60" spans="1:18" x14ac:dyDescent="0.25">
      <c r="A60">
        <v>1059</v>
      </c>
      <c r="B60" t="s">
        <v>188</v>
      </c>
      <c r="C60" t="s">
        <v>49</v>
      </c>
      <c r="D60" t="s">
        <v>59</v>
      </c>
      <c r="E60" t="s">
        <v>163</v>
      </c>
      <c r="F60" t="s">
        <v>76</v>
      </c>
      <c r="G60">
        <v>0.2</v>
      </c>
      <c r="H60">
        <v>34340</v>
      </c>
      <c r="I60" t="s">
        <v>189</v>
      </c>
      <c r="J60">
        <v>90.2</v>
      </c>
      <c r="K60">
        <v>0</v>
      </c>
      <c r="L60">
        <v>79.599999999999994</v>
      </c>
      <c r="M60">
        <v>71</v>
      </c>
      <c r="N60">
        <v>55</v>
      </c>
      <c r="O60">
        <v>2</v>
      </c>
      <c r="P60">
        <v>10</v>
      </c>
      <c r="Q60" t="s">
        <v>42</v>
      </c>
      <c r="R60" t="s">
        <v>57</v>
      </c>
    </row>
    <row r="61" spans="1:18" x14ac:dyDescent="0.25">
      <c r="A61">
        <v>1060</v>
      </c>
      <c r="B61" t="s">
        <v>190</v>
      </c>
      <c r="C61" t="s">
        <v>44</v>
      </c>
      <c r="D61" t="s">
        <v>45</v>
      </c>
      <c r="E61" t="s">
        <v>46</v>
      </c>
      <c r="F61" t="s">
        <v>35</v>
      </c>
      <c r="G61">
        <v>5</v>
      </c>
      <c r="H61">
        <v>68647</v>
      </c>
      <c r="I61" t="s">
        <v>191</v>
      </c>
      <c r="J61">
        <v>84.1</v>
      </c>
      <c r="K61">
        <v>22.5</v>
      </c>
      <c r="L61">
        <v>85.3</v>
      </c>
      <c r="M61">
        <v>88</v>
      </c>
      <c r="N61">
        <v>76</v>
      </c>
      <c r="O61">
        <v>1</v>
      </c>
      <c r="P61">
        <v>30</v>
      </c>
      <c r="Q61" t="s">
        <v>37</v>
      </c>
      <c r="R61" t="s">
        <v>25</v>
      </c>
    </row>
    <row r="62" spans="1:18" x14ac:dyDescent="0.25">
      <c r="A62">
        <v>1061</v>
      </c>
      <c r="B62" t="s">
        <v>192</v>
      </c>
      <c r="C62" t="s">
        <v>44</v>
      </c>
      <c r="D62" t="s">
        <v>54</v>
      </c>
      <c r="E62" t="s">
        <v>55</v>
      </c>
      <c r="F62" t="s">
        <v>76</v>
      </c>
      <c r="G62">
        <v>1.4</v>
      </c>
      <c r="H62">
        <v>50569</v>
      </c>
      <c r="I62" t="s">
        <v>193</v>
      </c>
      <c r="J62">
        <v>98.4</v>
      </c>
      <c r="K62">
        <v>38.6</v>
      </c>
      <c r="L62">
        <v>85.5</v>
      </c>
      <c r="M62">
        <v>111</v>
      </c>
      <c r="N62">
        <v>100</v>
      </c>
      <c r="O62">
        <v>6</v>
      </c>
      <c r="P62">
        <v>19</v>
      </c>
      <c r="Q62" t="s">
        <v>37</v>
      </c>
      <c r="R62" t="s">
        <v>25</v>
      </c>
    </row>
    <row r="63" spans="1:18" x14ac:dyDescent="0.25">
      <c r="A63">
        <v>1062</v>
      </c>
      <c r="B63" t="s">
        <v>194</v>
      </c>
      <c r="C63" t="s">
        <v>32</v>
      </c>
      <c r="D63" t="s">
        <v>106</v>
      </c>
      <c r="E63" t="s">
        <v>128</v>
      </c>
      <c r="F63" t="s">
        <v>40</v>
      </c>
      <c r="G63">
        <v>7.8</v>
      </c>
      <c r="H63">
        <v>78262</v>
      </c>
      <c r="I63" t="s">
        <v>195</v>
      </c>
      <c r="J63">
        <v>99.2</v>
      </c>
      <c r="K63">
        <v>24.8</v>
      </c>
      <c r="L63">
        <v>84</v>
      </c>
      <c r="M63">
        <v>117</v>
      </c>
      <c r="N63">
        <v>94</v>
      </c>
      <c r="O63">
        <v>4</v>
      </c>
      <c r="P63">
        <v>13</v>
      </c>
      <c r="Q63" t="s">
        <v>37</v>
      </c>
      <c r="R63" t="s">
        <v>25</v>
      </c>
    </row>
    <row r="64" spans="1:18" x14ac:dyDescent="0.25">
      <c r="A64">
        <v>1063</v>
      </c>
      <c r="B64" t="s">
        <v>196</v>
      </c>
      <c r="C64" t="s">
        <v>19</v>
      </c>
      <c r="D64" t="s">
        <v>20</v>
      </c>
      <c r="E64" t="s">
        <v>21</v>
      </c>
      <c r="F64" t="s">
        <v>76</v>
      </c>
      <c r="G64">
        <v>5.2</v>
      </c>
      <c r="H64">
        <v>68445</v>
      </c>
      <c r="I64" t="s">
        <v>197</v>
      </c>
      <c r="J64">
        <v>92.3</v>
      </c>
      <c r="K64">
        <v>19.7</v>
      </c>
      <c r="L64">
        <v>86.6</v>
      </c>
      <c r="M64">
        <v>97</v>
      </c>
      <c r="N64">
        <v>85</v>
      </c>
      <c r="O64">
        <v>3</v>
      </c>
      <c r="P64">
        <v>10</v>
      </c>
      <c r="Q64" t="s">
        <v>42</v>
      </c>
      <c r="R64" t="s">
        <v>25</v>
      </c>
    </row>
    <row r="65" spans="1:18" x14ac:dyDescent="0.25">
      <c r="A65">
        <v>1064</v>
      </c>
      <c r="B65" t="s">
        <v>198</v>
      </c>
      <c r="C65" t="s">
        <v>49</v>
      </c>
      <c r="D65" t="s">
        <v>50</v>
      </c>
      <c r="E65" t="s">
        <v>163</v>
      </c>
      <c r="F65" t="s">
        <v>22</v>
      </c>
      <c r="G65">
        <v>4.0999999999999996</v>
      </c>
      <c r="H65">
        <v>66275</v>
      </c>
      <c r="I65" t="s">
        <v>199</v>
      </c>
      <c r="J65">
        <v>88.3</v>
      </c>
      <c r="K65">
        <v>7.5</v>
      </c>
      <c r="L65">
        <v>87.2</v>
      </c>
      <c r="M65">
        <v>57</v>
      </c>
      <c r="N65">
        <v>51</v>
      </c>
      <c r="O65">
        <v>3</v>
      </c>
      <c r="P65">
        <v>18</v>
      </c>
      <c r="Q65" t="s">
        <v>42</v>
      </c>
      <c r="R65" t="s">
        <v>25</v>
      </c>
    </row>
    <row r="66" spans="1:18" x14ac:dyDescent="0.25">
      <c r="A66">
        <v>1065</v>
      </c>
      <c r="B66" t="s">
        <v>200</v>
      </c>
      <c r="C66" t="s">
        <v>19</v>
      </c>
      <c r="D66" t="s">
        <v>20</v>
      </c>
      <c r="E66" t="s">
        <v>39</v>
      </c>
      <c r="F66" t="s">
        <v>22</v>
      </c>
      <c r="G66">
        <v>5</v>
      </c>
      <c r="H66">
        <v>69785</v>
      </c>
      <c r="I66" t="s">
        <v>109</v>
      </c>
      <c r="J66">
        <v>96.8</v>
      </c>
      <c r="K66">
        <v>22.2</v>
      </c>
      <c r="L66">
        <v>75.599999999999994</v>
      </c>
      <c r="M66">
        <v>101</v>
      </c>
      <c r="N66">
        <v>74</v>
      </c>
      <c r="O66">
        <v>0</v>
      </c>
      <c r="P66">
        <v>5</v>
      </c>
      <c r="Q66" t="s">
        <v>24</v>
      </c>
      <c r="R66" t="s">
        <v>57</v>
      </c>
    </row>
    <row r="67" spans="1:18" x14ac:dyDescent="0.25">
      <c r="A67">
        <v>1066</v>
      </c>
      <c r="B67" t="s">
        <v>201</v>
      </c>
      <c r="C67" t="s">
        <v>44</v>
      </c>
      <c r="D67" t="s">
        <v>70</v>
      </c>
      <c r="E67" t="s">
        <v>97</v>
      </c>
      <c r="F67" t="s">
        <v>103</v>
      </c>
      <c r="G67">
        <v>6.6</v>
      </c>
      <c r="H67">
        <v>78384</v>
      </c>
      <c r="I67" t="s">
        <v>202</v>
      </c>
      <c r="J67">
        <v>90.5</v>
      </c>
      <c r="K67">
        <v>9.8000000000000007</v>
      </c>
      <c r="L67">
        <v>68.5</v>
      </c>
      <c r="M67">
        <v>90</v>
      </c>
      <c r="N67">
        <v>51</v>
      </c>
      <c r="O67">
        <v>7</v>
      </c>
      <c r="P67">
        <v>22</v>
      </c>
      <c r="Q67" t="s">
        <v>37</v>
      </c>
      <c r="R67" t="s">
        <v>203</v>
      </c>
    </row>
    <row r="68" spans="1:18" x14ac:dyDescent="0.25">
      <c r="A68">
        <v>1067</v>
      </c>
      <c r="B68" t="s">
        <v>204</v>
      </c>
      <c r="C68" t="s">
        <v>49</v>
      </c>
      <c r="D68" t="s">
        <v>59</v>
      </c>
      <c r="E68" t="s">
        <v>51</v>
      </c>
      <c r="F68" t="s">
        <v>76</v>
      </c>
      <c r="G68">
        <v>4</v>
      </c>
      <c r="H68">
        <v>62037</v>
      </c>
      <c r="I68" t="s">
        <v>205</v>
      </c>
      <c r="J68">
        <v>92.2</v>
      </c>
      <c r="K68">
        <v>12.8</v>
      </c>
      <c r="L68">
        <v>84.7</v>
      </c>
      <c r="M68">
        <v>86</v>
      </c>
      <c r="N68">
        <v>77</v>
      </c>
      <c r="O68">
        <v>2</v>
      </c>
      <c r="P68">
        <v>11</v>
      </c>
      <c r="Q68" t="s">
        <v>42</v>
      </c>
      <c r="R68" t="s">
        <v>25</v>
      </c>
    </row>
    <row r="69" spans="1:18" x14ac:dyDescent="0.25">
      <c r="A69">
        <v>1068</v>
      </c>
      <c r="B69" t="s">
        <v>206</v>
      </c>
      <c r="C69" t="s">
        <v>44</v>
      </c>
      <c r="D69" t="s">
        <v>54</v>
      </c>
      <c r="E69" t="s">
        <v>55</v>
      </c>
      <c r="F69" t="s">
        <v>35</v>
      </c>
      <c r="G69">
        <v>3</v>
      </c>
      <c r="H69">
        <v>51092</v>
      </c>
      <c r="I69" t="s">
        <v>207</v>
      </c>
      <c r="J69">
        <v>92.3</v>
      </c>
      <c r="K69">
        <v>20</v>
      </c>
      <c r="L69">
        <v>88.5</v>
      </c>
      <c r="M69">
        <v>105</v>
      </c>
      <c r="N69">
        <v>96</v>
      </c>
      <c r="O69">
        <v>5</v>
      </c>
      <c r="P69">
        <v>22</v>
      </c>
      <c r="Q69" t="s">
        <v>24</v>
      </c>
      <c r="R69" t="s">
        <v>25</v>
      </c>
    </row>
    <row r="70" spans="1:18" x14ac:dyDescent="0.25">
      <c r="A70">
        <v>1069</v>
      </c>
      <c r="B70" t="s">
        <v>208</v>
      </c>
      <c r="C70" t="s">
        <v>49</v>
      </c>
      <c r="D70" t="s">
        <v>50</v>
      </c>
      <c r="E70" t="s">
        <v>51</v>
      </c>
      <c r="F70" t="s">
        <v>40</v>
      </c>
      <c r="G70">
        <v>5.8</v>
      </c>
      <c r="H70">
        <v>64716</v>
      </c>
      <c r="I70" t="s">
        <v>209</v>
      </c>
      <c r="J70">
        <v>90.9</v>
      </c>
      <c r="K70">
        <v>0</v>
      </c>
      <c r="L70">
        <v>88</v>
      </c>
      <c r="M70">
        <v>38</v>
      </c>
      <c r="N70">
        <v>30</v>
      </c>
      <c r="O70">
        <v>2</v>
      </c>
      <c r="P70">
        <v>14</v>
      </c>
      <c r="Q70" t="s">
        <v>42</v>
      </c>
      <c r="R70" t="s">
        <v>25</v>
      </c>
    </row>
    <row r="71" spans="1:18" x14ac:dyDescent="0.25">
      <c r="A71">
        <v>1070</v>
      </c>
      <c r="B71" t="s">
        <v>210</v>
      </c>
      <c r="C71" t="s">
        <v>49</v>
      </c>
      <c r="D71" t="s">
        <v>178</v>
      </c>
      <c r="E71" t="s">
        <v>51</v>
      </c>
      <c r="F71" t="s">
        <v>103</v>
      </c>
      <c r="G71">
        <v>4.3</v>
      </c>
      <c r="H71">
        <v>76367</v>
      </c>
      <c r="I71" t="s">
        <v>211</v>
      </c>
      <c r="J71">
        <v>93.3</v>
      </c>
      <c r="K71">
        <v>0</v>
      </c>
      <c r="L71">
        <v>91.1</v>
      </c>
      <c r="M71">
        <v>44</v>
      </c>
      <c r="N71">
        <v>37</v>
      </c>
      <c r="O71">
        <v>0</v>
      </c>
      <c r="P71">
        <v>25</v>
      </c>
      <c r="Q71" t="s">
        <v>42</v>
      </c>
      <c r="R71" t="s">
        <v>62</v>
      </c>
    </row>
    <row r="72" spans="1:18" x14ac:dyDescent="0.25">
      <c r="A72">
        <v>1071</v>
      </c>
      <c r="B72" t="s">
        <v>212</v>
      </c>
      <c r="C72" t="s">
        <v>19</v>
      </c>
      <c r="D72" t="s">
        <v>81</v>
      </c>
      <c r="E72" t="s">
        <v>82</v>
      </c>
      <c r="F72" t="s">
        <v>35</v>
      </c>
      <c r="G72">
        <v>0.2</v>
      </c>
      <c r="H72">
        <v>30450</v>
      </c>
      <c r="I72" t="s">
        <v>213</v>
      </c>
      <c r="J72">
        <v>87</v>
      </c>
      <c r="K72">
        <v>25.3</v>
      </c>
      <c r="L72">
        <v>81.8</v>
      </c>
      <c r="M72">
        <v>93</v>
      </c>
      <c r="N72">
        <v>84</v>
      </c>
      <c r="O72">
        <v>4</v>
      </c>
      <c r="P72">
        <v>14</v>
      </c>
      <c r="Q72" t="s">
        <v>37</v>
      </c>
      <c r="R72" t="s">
        <v>25</v>
      </c>
    </row>
    <row r="73" spans="1:18" x14ac:dyDescent="0.25">
      <c r="A73">
        <v>1072</v>
      </c>
      <c r="B73" t="s">
        <v>214</v>
      </c>
      <c r="C73" t="s">
        <v>89</v>
      </c>
      <c r="D73" t="s">
        <v>102</v>
      </c>
      <c r="E73" t="s">
        <v>152</v>
      </c>
      <c r="F73" t="s">
        <v>76</v>
      </c>
      <c r="G73">
        <v>0.2</v>
      </c>
      <c r="H73">
        <v>28805</v>
      </c>
      <c r="I73" t="s">
        <v>215</v>
      </c>
      <c r="J73">
        <v>96.1</v>
      </c>
      <c r="K73">
        <v>7</v>
      </c>
      <c r="L73">
        <v>91.6</v>
      </c>
      <c r="M73">
        <v>54</v>
      </c>
      <c r="N73">
        <v>48</v>
      </c>
      <c r="O73">
        <v>0</v>
      </c>
      <c r="P73">
        <v>19</v>
      </c>
      <c r="Q73" t="s">
        <v>42</v>
      </c>
      <c r="R73" t="s">
        <v>62</v>
      </c>
    </row>
    <row r="74" spans="1:18" x14ac:dyDescent="0.25">
      <c r="A74">
        <v>1073</v>
      </c>
      <c r="B74" t="s">
        <v>216</v>
      </c>
      <c r="C74" t="s">
        <v>32</v>
      </c>
      <c r="D74" t="s">
        <v>106</v>
      </c>
      <c r="E74" t="s">
        <v>94</v>
      </c>
      <c r="F74" t="s">
        <v>40</v>
      </c>
      <c r="G74">
        <v>2.2000000000000002</v>
      </c>
      <c r="H74">
        <v>59083</v>
      </c>
      <c r="I74" t="s">
        <v>217</v>
      </c>
      <c r="J74">
        <v>96.7</v>
      </c>
      <c r="K74">
        <v>15.1</v>
      </c>
      <c r="L74">
        <v>88.7</v>
      </c>
      <c r="M74">
        <v>107</v>
      </c>
      <c r="N74">
        <v>99</v>
      </c>
      <c r="O74">
        <v>0</v>
      </c>
      <c r="P74">
        <v>9</v>
      </c>
      <c r="Q74" t="s">
        <v>42</v>
      </c>
      <c r="R74" t="s">
        <v>25</v>
      </c>
    </row>
    <row r="75" spans="1:18" x14ac:dyDescent="0.25">
      <c r="A75">
        <v>1074</v>
      </c>
      <c r="B75" t="s">
        <v>218</v>
      </c>
      <c r="C75" t="s">
        <v>44</v>
      </c>
      <c r="D75" t="s">
        <v>54</v>
      </c>
      <c r="E75" t="s">
        <v>46</v>
      </c>
      <c r="F75" t="s">
        <v>86</v>
      </c>
      <c r="G75">
        <v>7</v>
      </c>
      <c r="H75">
        <v>81764</v>
      </c>
      <c r="I75" t="s">
        <v>219</v>
      </c>
      <c r="J75">
        <v>89.3</v>
      </c>
      <c r="K75">
        <v>22.8</v>
      </c>
      <c r="L75">
        <v>71.599999999999994</v>
      </c>
      <c r="M75">
        <v>88</v>
      </c>
      <c r="N75">
        <v>64</v>
      </c>
      <c r="O75">
        <v>6</v>
      </c>
      <c r="P75">
        <v>22</v>
      </c>
      <c r="Q75" t="s">
        <v>37</v>
      </c>
      <c r="R75" t="s">
        <v>57</v>
      </c>
    </row>
    <row r="76" spans="1:18" x14ac:dyDescent="0.25">
      <c r="A76">
        <v>1075</v>
      </c>
      <c r="B76" t="s">
        <v>220</v>
      </c>
      <c r="C76" t="s">
        <v>32</v>
      </c>
      <c r="D76" t="s">
        <v>33</v>
      </c>
      <c r="E76" t="s">
        <v>94</v>
      </c>
      <c r="F76" t="s">
        <v>35</v>
      </c>
      <c r="G76">
        <v>0.2</v>
      </c>
      <c r="H76">
        <v>45048</v>
      </c>
      <c r="I76" t="s">
        <v>221</v>
      </c>
      <c r="J76">
        <v>100</v>
      </c>
      <c r="K76">
        <v>33.6</v>
      </c>
      <c r="L76">
        <v>87.4</v>
      </c>
      <c r="M76">
        <v>109</v>
      </c>
      <c r="N76">
        <v>83</v>
      </c>
      <c r="O76">
        <v>2</v>
      </c>
      <c r="P76">
        <v>14</v>
      </c>
      <c r="Q76" t="s">
        <v>24</v>
      </c>
      <c r="R76" t="s">
        <v>25</v>
      </c>
    </row>
    <row r="77" spans="1:18" x14ac:dyDescent="0.25">
      <c r="A77">
        <v>1076</v>
      </c>
      <c r="B77" t="s">
        <v>222</v>
      </c>
      <c r="C77" t="s">
        <v>49</v>
      </c>
      <c r="D77" t="s">
        <v>50</v>
      </c>
      <c r="E77" t="s">
        <v>51</v>
      </c>
      <c r="F77" t="s">
        <v>22</v>
      </c>
      <c r="G77">
        <v>4.7</v>
      </c>
      <c r="H77">
        <v>61108</v>
      </c>
      <c r="I77" t="s">
        <v>223</v>
      </c>
      <c r="J77">
        <v>90.3</v>
      </c>
      <c r="K77">
        <v>0.9</v>
      </c>
      <c r="L77">
        <v>82.7</v>
      </c>
      <c r="M77">
        <v>56</v>
      </c>
      <c r="N77">
        <v>43</v>
      </c>
      <c r="O77">
        <v>3</v>
      </c>
      <c r="P77">
        <v>16</v>
      </c>
      <c r="Q77" t="s">
        <v>42</v>
      </c>
      <c r="R77" t="s">
        <v>25</v>
      </c>
    </row>
    <row r="78" spans="1:18" x14ac:dyDescent="0.25">
      <c r="A78">
        <v>1077</v>
      </c>
      <c r="B78" t="s">
        <v>224</v>
      </c>
      <c r="C78" t="s">
        <v>44</v>
      </c>
      <c r="D78" t="s">
        <v>54</v>
      </c>
      <c r="E78" t="s">
        <v>97</v>
      </c>
      <c r="F78" t="s">
        <v>40</v>
      </c>
      <c r="G78">
        <v>3.8</v>
      </c>
      <c r="H78">
        <v>57861</v>
      </c>
      <c r="I78" t="s">
        <v>225</v>
      </c>
      <c r="J78">
        <v>97.9</v>
      </c>
      <c r="K78">
        <v>24.1</v>
      </c>
      <c r="L78">
        <v>77.5</v>
      </c>
      <c r="M78">
        <v>99</v>
      </c>
      <c r="N78">
        <v>88</v>
      </c>
      <c r="O78">
        <v>5</v>
      </c>
      <c r="P78">
        <v>21</v>
      </c>
      <c r="Q78" t="s">
        <v>37</v>
      </c>
      <c r="R78" t="s">
        <v>57</v>
      </c>
    </row>
    <row r="79" spans="1:18" x14ac:dyDescent="0.25">
      <c r="A79">
        <v>1078</v>
      </c>
      <c r="B79" t="s">
        <v>226</v>
      </c>
      <c r="C79" t="s">
        <v>32</v>
      </c>
      <c r="D79" t="s">
        <v>106</v>
      </c>
      <c r="E79" t="s">
        <v>34</v>
      </c>
      <c r="F79" t="s">
        <v>22</v>
      </c>
      <c r="G79">
        <v>2.5</v>
      </c>
      <c r="H79">
        <v>51383</v>
      </c>
      <c r="I79" t="s">
        <v>227</v>
      </c>
      <c r="J79">
        <v>90.7</v>
      </c>
      <c r="K79">
        <v>38.200000000000003</v>
      </c>
      <c r="L79">
        <v>74.099999999999994</v>
      </c>
      <c r="M79">
        <v>119</v>
      </c>
      <c r="N79">
        <v>87</v>
      </c>
      <c r="O79">
        <v>5</v>
      </c>
      <c r="P79">
        <v>6</v>
      </c>
      <c r="Q79" t="s">
        <v>37</v>
      </c>
      <c r="R79" t="s">
        <v>57</v>
      </c>
    </row>
    <row r="80" spans="1:18" x14ac:dyDescent="0.25">
      <c r="A80">
        <v>1079</v>
      </c>
      <c r="B80" t="s">
        <v>228</v>
      </c>
      <c r="C80" t="s">
        <v>44</v>
      </c>
      <c r="D80" t="s">
        <v>70</v>
      </c>
      <c r="E80" t="s">
        <v>55</v>
      </c>
      <c r="F80" t="s">
        <v>76</v>
      </c>
      <c r="G80">
        <v>6.1</v>
      </c>
      <c r="H80">
        <v>65953</v>
      </c>
      <c r="I80" t="s">
        <v>229</v>
      </c>
      <c r="J80">
        <v>93.4</v>
      </c>
      <c r="K80">
        <v>11.3</v>
      </c>
      <c r="L80">
        <v>85.8</v>
      </c>
      <c r="M80">
        <v>108</v>
      </c>
      <c r="N80">
        <v>95</v>
      </c>
      <c r="O80">
        <v>7</v>
      </c>
      <c r="P80">
        <v>29</v>
      </c>
      <c r="Q80" t="s">
        <v>24</v>
      </c>
      <c r="R80" t="s">
        <v>25</v>
      </c>
    </row>
    <row r="81" spans="1:18" x14ac:dyDescent="0.25">
      <c r="A81">
        <v>1080</v>
      </c>
      <c r="B81" t="s">
        <v>230</v>
      </c>
      <c r="C81" t="s">
        <v>32</v>
      </c>
      <c r="D81" t="s">
        <v>106</v>
      </c>
      <c r="E81" t="s">
        <v>94</v>
      </c>
      <c r="F81" t="s">
        <v>35</v>
      </c>
      <c r="G81">
        <v>2.4</v>
      </c>
      <c r="H81">
        <v>44968</v>
      </c>
      <c r="I81" t="s">
        <v>231</v>
      </c>
      <c r="J81">
        <v>96.3</v>
      </c>
      <c r="K81">
        <v>19.600000000000001</v>
      </c>
      <c r="L81">
        <v>89.9</v>
      </c>
      <c r="M81">
        <v>114</v>
      </c>
      <c r="N81">
        <v>99</v>
      </c>
      <c r="O81">
        <v>3</v>
      </c>
      <c r="P81">
        <v>16</v>
      </c>
      <c r="Q81" t="s">
        <v>24</v>
      </c>
      <c r="R81" t="s">
        <v>25</v>
      </c>
    </row>
    <row r="82" spans="1:18" x14ac:dyDescent="0.25">
      <c r="A82">
        <v>1081</v>
      </c>
      <c r="B82" t="s">
        <v>232</v>
      </c>
      <c r="C82" t="s">
        <v>32</v>
      </c>
      <c r="D82" t="s">
        <v>106</v>
      </c>
      <c r="E82" t="s">
        <v>128</v>
      </c>
      <c r="F82" t="s">
        <v>22</v>
      </c>
      <c r="G82">
        <v>5.6</v>
      </c>
      <c r="H82">
        <v>58692</v>
      </c>
      <c r="I82" t="s">
        <v>233</v>
      </c>
      <c r="J82">
        <v>92.8</v>
      </c>
      <c r="K82">
        <v>34</v>
      </c>
      <c r="L82">
        <v>74</v>
      </c>
      <c r="M82">
        <v>101</v>
      </c>
      <c r="N82">
        <v>75</v>
      </c>
      <c r="O82">
        <v>2</v>
      </c>
      <c r="P82">
        <v>18</v>
      </c>
      <c r="Q82" t="s">
        <v>37</v>
      </c>
      <c r="R82" t="s">
        <v>57</v>
      </c>
    </row>
    <row r="83" spans="1:18" x14ac:dyDescent="0.25">
      <c r="A83">
        <v>1082</v>
      </c>
      <c r="B83" t="s">
        <v>234</v>
      </c>
      <c r="C83" t="s">
        <v>49</v>
      </c>
      <c r="D83" t="s">
        <v>59</v>
      </c>
      <c r="E83" t="s">
        <v>163</v>
      </c>
      <c r="F83" t="s">
        <v>40</v>
      </c>
      <c r="G83">
        <v>5.5</v>
      </c>
      <c r="H83">
        <v>67393</v>
      </c>
      <c r="I83" t="s">
        <v>235</v>
      </c>
      <c r="J83">
        <v>96.6</v>
      </c>
      <c r="K83">
        <v>7.5</v>
      </c>
      <c r="L83">
        <v>97</v>
      </c>
      <c r="M83">
        <v>63</v>
      </c>
      <c r="N83">
        <v>60</v>
      </c>
      <c r="O83">
        <v>0</v>
      </c>
      <c r="P83">
        <v>14</v>
      </c>
      <c r="Q83" t="s">
        <v>42</v>
      </c>
      <c r="R83" t="s">
        <v>62</v>
      </c>
    </row>
    <row r="84" spans="1:18" x14ac:dyDescent="0.25">
      <c r="A84">
        <v>1083</v>
      </c>
      <c r="B84" t="s">
        <v>236</v>
      </c>
      <c r="C84" t="s">
        <v>44</v>
      </c>
      <c r="D84" t="s">
        <v>54</v>
      </c>
      <c r="E84" t="s">
        <v>97</v>
      </c>
      <c r="F84" t="s">
        <v>35</v>
      </c>
      <c r="G84">
        <v>9.5</v>
      </c>
      <c r="H84">
        <v>87527</v>
      </c>
      <c r="I84" t="s">
        <v>237</v>
      </c>
      <c r="J84">
        <v>93</v>
      </c>
      <c r="K84">
        <v>13.7</v>
      </c>
      <c r="L84">
        <v>68.3</v>
      </c>
      <c r="M84">
        <v>87</v>
      </c>
      <c r="N84">
        <v>68</v>
      </c>
      <c r="O84">
        <v>8</v>
      </c>
      <c r="P84">
        <v>11</v>
      </c>
      <c r="Q84" t="s">
        <v>37</v>
      </c>
      <c r="R84" t="s">
        <v>203</v>
      </c>
    </row>
    <row r="85" spans="1:18" x14ac:dyDescent="0.25">
      <c r="A85">
        <v>1084</v>
      </c>
      <c r="B85" t="s">
        <v>238</v>
      </c>
      <c r="C85" t="s">
        <v>89</v>
      </c>
      <c r="D85" t="s">
        <v>102</v>
      </c>
      <c r="E85" t="s">
        <v>152</v>
      </c>
      <c r="F85" t="s">
        <v>40</v>
      </c>
      <c r="G85">
        <v>1.8</v>
      </c>
      <c r="H85">
        <v>42792</v>
      </c>
      <c r="I85" t="s">
        <v>239</v>
      </c>
      <c r="J85">
        <v>86</v>
      </c>
      <c r="K85">
        <v>14.6</v>
      </c>
      <c r="L85">
        <v>89.3</v>
      </c>
      <c r="M85">
        <v>72</v>
      </c>
      <c r="N85">
        <v>64</v>
      </c>
      <c r="O85">
        <v>0</v>
      </c>
      <c r="P85">
        <v>17</v>
      </c>
      <c r="Q85" t="s">
        <v>24</v>
      </c>
      <c r="R85" t="s">
        <v>25</v>
      </c>
    </row>
    <row r="86" spans="1:18" x14ac:dyDescent="0.25">
      <c r="A86">
        <v>1085</v>
      </c>
      <c r="B86" t="s">
        <v>240</v>
      </c>
      <c r="C86" t="s">
        <v>49</v>
      </c>
      <c r="D86" t="s">
        <v>50</v>
      </c>
      <c r="E86" t="s">
        <v>163</v>
      </c>
      <c r="F86" t="s">
        <v>103</v>
      </c>
      <c r="G86">
        <v>7.3</v>
      </c>
      <c r="H86">
        <v>78226</v>
      </c>
      <c r="I86" t="s">
        <v>241</v>
      </c>
      <c r="J86">
        <v>92</v>
      </c>
      <c r="K86">
        <v>20.8</v>
      </c>
      <c r="L86">
        <v>94</v>
      </c>
      <c r="M86">
        <v>59</v>
      </c>
      <c r="N86">
        <v>53</v>
      </c>
      <c r="O86">
        <v>3</v>
      </c>
      <c r="P86">
        <v>9</v>
      </c>
      <c r="Q86" t="s">
        <v>42</v>
      </c>
      <c r="R86" t="s">
        <v>62</v>
      </c>
    </row>
    <row r="87" spans="1:18" x14ac:dyDescent="0.25">
      <c r="A87">
        <v>1086</v>
      </c>
      <c r="B87" t="s">
        <v>242</v>
      </c>
      <c r="C87" t="s">
        <v>27</v>
      </c>
      <c r="D87" t="s">
        <v>28</v>
      </c>
      <c r="E87" t="s">
        <v>85</v>
      </c>
      <c r="F87" t="s">
        <v>22</v>
      </c>
      <c r="G87">
        <v>6.4</v>
      </c>
      <c r="H87">
        <v>72915</v>
      </c>
      <c r="I87" t="s">
        <v>243</v>
      </c>
      <c r="J87">
        <v>92.7</v>
      </c>
      <c r="K87">
        <v>5.0999999999999996</v>
      </c>
      <c r="L87">
        <v>86.3</v>
      </c>
      <c r="M87">
        <v>68</v>
      </c>
      <c r="N87">
        <v>62</v>
      </c>
      <c r="O87">
        <v>0</v>
      </c>
      <c r="P87">
        <v>19</v>
      </c>
      <c r="Q87" t="s">
        <v>42</v>
      </c>
      <c r="R87" t="s">
        <v>25</v>
      </c>
    </row>
    <row r="88" spans="1:18" x14ac:dyDescent="0.25">
      <c r="A88">
        <v>1087</v>
      </c>
      <c r="B88" t="s">
        <v>244</v>
      </c>
      <c r="C88" t="s">
        <v>49</v>
      </c>
      <c r="D88" t="s">
        <v>50</v>
      </c>
      <c r="E88" t="s">
        <v>51</v>
      </c>
      <c r="F88" t="s">
        <v>103</v>
      </c>
      <c r="G88">
        <v>0.4</v>
      </c>
      <c r="H88">
        <v>28000</v>
      </c>
      <c r="I88" t="s">
        <v>245</v>
      </c>
      <c r="J88">
        <v>91.3</v>
      </c>
      <c r="K88">
        <v>2.2999999999999998</v>
      </c>
      <c r="L88">
        <v>93.6</v>
      </c>
      <c r="M88">
        <v>47</v>
      </c>
      <c r="N88">
        <v>36</v>
      </c>
      <c r="O88">
        <v>2</v>
      </c>
      <c r="P88">
        <v>10</v>
      </c>
      <c r="Q88" t="s">
        <v>42</v>
      </c>
      <c r="R88" t="s">
        <v>62</v>
      </c>
    </row>
    <row r="89" spans="1:18" x14ac:dyDescent="0.25">
      <c r="A89">
        <v>1088</v>
      </c>
      <c r="B89" t="s">
        <v>246</v>
      </c>
      <c r="C89" t="s">
        <v>49</v>
      </c>
      <c r="D89" t="s">
        <v>178</v>
      </c>
      <c r="E89" t="s">
        <v>163</v>
      </c>
      <c r="F89" t="s">
        <v>35</v>
      </c>
      <c r="G89">
        <v>0.5</v>
      </c>
      <c r="H89">
        <v>28000</v>
      </c>
      <c r="I89" t="s">
        <v>247</v>
      </c>
      <c r="J89">
        <v>93.7</v>
      </c>
      <c r="K89">
        <v>22.2</v>
      </c>
      <c r="L89">
        <v>87.8</v>
      </c>
      <c r="M89">
        <v>69</v>
      </c>
      <c r="N89">
        <v>62</v>
      </c>
      <c r="O89">
        <v>0</v>
      </c>
      <c r="P89">
        <v>20</v>
      </c>
      <c r="Q89" t="s">
        <v>42</v>
      </c>
      <c r="R89" t="s">
        <v>25</v>
      </c>
    </row>
    <row r="90" spans="1:18" x14ac:dyDescent="0.25">
      <c r="A90">
        <v>1089</v>
      </c>
      <c r="B90" t="s">
        <v>248</v>
      </c>
      <c r="C90" t="s">
        <v>89</v>
      </c>
      <c r="D90" t="s">
        <v>90</v>
      </c>
      <c r="E90" t="s">
        <v>111</v>
      </c>
      <c r="F90" t="s">
        <v>40</v>
      </c>
      <c r="G90">
        <v>4.4000000000000004</v>
      </c>
      <c r="H90">
        <v>75121</v>
      </c>
      <c r="I90" t="s">
        <v>249</v>
      </c>
      <c r="J90">
        <v>94.7</v>
      </c>
      <c r="K90">
        <v>27</v>
      </c>
      <c r="L90">
        <v>96.3</v>
      </c>
      <c r="M90">
        <v>110</v>
      </c>
      <c r="N90">
        <v>106</v>
      </c>
      <c r="O90">
        <v>0</v>
      </c>
      <c r="P90">
        <v>18</v>
      </c>
      <c r="Q90" t="s">
        <v>24</v>
      </c>
      <c r="R90" t="s">
        <v>62</v>
      </c>
    </row>
    <row r="91" spans="1:18" x14ac:dyDescent="0.25">
      <c r="A91">
        <v>1090</v>
      </c>
      <c r="B91" t="s">
        <v>250</v>
      </c>
      <c r="C91" t="s">
        <v>49</v>
      </c>
      <c r="D91" t="s">
        <v>178</v>
      </c>
      <c r="E91" t="s">
        <v>163</v>
      </c>
      <c r="F91" t="s">
        <v>103</v>
      </c>
      <c r="G91">
        <v>0.2</v>
      </c>
      <c r="H91">
        <v>44380</v>
      </c>
      <c r="I91" t="s">
        <v>251</v>
      </c>
      <c r="J91">
        <v>92.6</v>
      </c>
      <c r="K91">
        <v>9.3000000000000007</v>
      </c>
      <c r="L91">
        <v>92.7</v>
      </c>
      <c r="M91">
        <v>51</v>
      </c>
      <c r="N91">
        <v>51</v>
      </c>
      <c r="O91">
        <v>2</v>
      </c>
      <c r="P91">
        <v>16</v>
      </c>
      <c r="Q91" t="s">
        <v>42</v>
      </c>
      <c r="R91" t="s">
        <v>62</v>
      </c>
    </row>
    <row r="92" spans="1:18" x14ac:dyDescent="0.25">
      <c r="A92">
        <v>1091</v>
      </c>
      <c r="B92" t="s">
        <v>252</v>
      </c>
      <c r="C92" t="s">
        <v>44</v>
      </c>
      <c r="D92" t="s">
        <v>45</v>
      </c>
      <c r="E92" t="s">
        <v>55</v>
      </c>
      <c r="F92" t="s">
        <v>76</v>
      </c>
      <c r="G92">
        <v>4.7</v>
      </c>
      <c r="H92">
        <v>65501</v>
      </c>
      <c r="I92" t="s">
        <v>253</v>
      </c>
      <c r="J92">
        <v>96.8</v>
      </c>
      <c r="K92">
        <v>30.1</v>
      </c>
      <c r="L92">
        <v>76.599999999999994</v>
      </c>
      <c r="M92">
        <v>89</v>
      </c>
      <c r="N92">
        <v>69</v>
      </c>
      <c r="O92">
        <v>6</v>
      </c>
      <c r="P92">
        <v>26</v>
      </c>
      <c r="Q92" t="s">
        <v>37</v>
      </c>
      <c r="R92" t="s">
        <v>57</v>
      </c>
    </row>
    <row r="93" spans="1:18" x14ac:dyDescent="0.25">
      <c r="A93">
        <v>1092</v>
      </c>
      <c r="B93" t="s">
        <v>254</v>
      </c>
      <c r="C93" t="s">
        <v>27</v>
      </c>
      <c r="D93" t="s">
        <v>75</v>
      </c>
      <c r="E93" t="s">
        <v>118</v>
      </c>
      <c r="F93" t="s">
        <v>86</v>
      </c>
      <c r="G93">
        <v>5.3</v>
      </c>
      <c r="H93">
        <v>76789</v>
      </c>
      <c r="I93" t="s">
        <v>255</v>
      </c>
      <c r="J93">
        <v>90.4</v>
      </c>
      <c r="K93">
        <v>7.7</v>
      </c>
      <c r="L93">
        <v>86.7</v>
      </c>
      <c r="M93">
        <v>98</v>
      </c>
      <c r="N93">
        <v>81</v>
      </c>
      <c r="O93">
        <v>0</v>
      </c>
      <c r="P93">
        <v>18</v>
      </c>
      <c r="Q93" t="s">
        <v>42</v>
      </c>
      <c r="R93" t="s">
        <v>25</v>
      </c>
    </row>
    <row r="94" spans="1:18" x14ac:dyDescent="0.25">
      <c r="A94">
        <v>1093</v>
      </c>
      <c r="B94" t="s">
        <v>256</v>
      </c>
      <c r="C94" t="s">
        <v>32</v>
      </c>
      <c r="D94" t="s">
        <v>67</v>
      </c>
      <c r="E94" t="s">
        <v>94</v>
      </c>
      <c r="F94" t="s">
        <v>40</v>
      </c>
      <c r="G94">
        <v>10.199999999999999</v>
      </c>
      <c r="H94">
        <v>102245</v>
      </c>
      <c r="I94" t="s">
        <v>257</v>
      </c>
      <c r="J94">
        <v>94.4</v>
      </c>
      <c r="K94">
        <v>16.5</v>
      </c>
      <c r="L94">
        <v>81.900000000000006</v>
      </c>
      <c r="M94">
        <v>142</v>
      </c>
      <c r="N94">
        <v>94</v>
      </c>
      <c r="O94">
        <v>0</v>
      </c>
      <c r="P94">
        <v>5</v>
      </c>
      <c r="Q94" t="s">
        <v>24</v>
      </c>
      <c r="R94" t="s">
        <v>25</v>
      </c>
    </row>
    <row r="95" spans="1:18" x14ac:dyDescent="0.25">
      <c r="A95">
        <v>1094</v>
      </c>
      <c r="B95" t="s">
        <v>258</v>
      </c>
      <c r="C95" t="s">
        <v>49</v>
      </c>
      <c r="D95" t="s">
        <v>178</v>
      </c>
      <c r="E95" t="s">
        <v>51</v>
      </c>
      <c r="F95" t="s">
        <v>40</v>
      </c>
      <c r="G95">
        <v>6.6</v>
      </c>
      <c r="H95">
        <v>68875</v>
      </c>
      <c r="I95" t="s">
        <v>259</v>
      </c>
      <c r="J95">
        <v>88</v>
      </c>
      <c r="K95">
        <v>14.8</v>
      </c>
      <c r="L95">
        <v>79.3</v>
      </c>
      <c r="M95">
        <v>90</v>
      </c>
      <c r="N95">
        <v>69</v>
      </c>
      <c r="O95">
        <v>3</v>
      </c>
      <c r="P95">
        <v>15</v>
      </c>
      <c r="Q95" t="s">
        <v>24</v>
      </c>
      <c r="R95" t="s">
        <v>57</v>
      </c>
    </row>
    <row r="96" spans="1:18" x14ac:dyDescent="0.25">
      <c r="A96">
        <v>1095</v>
      </c>
      <c r="B96" t="s">
        <v>260</v>
      </c>
      <c r="C96" t="s">
        <v>27</v>
      </c>
      <c r="D96" t="s">
        <v>64</v>
      </c>
      <c r="E96" t="s">
        <v>29</v>
      </c>
      <c r="F96" t="s">
        <v>76</v>
      </c>
      <c r="G96">
        <v>3.9</v>
      </c>
      <c r="H96">
        <v>57049</v>
      </c>
      <c r="I96" t="s">
        <v>261</v>
      </c>
      <c r="J96">
        <v>96.6</v>
      </c>
      <c r="K96">
        <v>18.600000000000001</v>
      </c>
      <c r="L96">
        <v>90.7</v>
      </c>
      <c r="M96">
        <v>55</v>
      </c>
      <c r="N96">
        <v>47</v>
      </c>
      <c r="O96">
        <v>0</v>
      </c>
      <c r="P96">
        <v>9</v>
      </c>
      <c r="Q96" t="s">
        <v>42</v>
      </c>
      <c r="R96" t="s">
        <v>62</v>
      </c>
    </row>
    <row r="97" spans="1:18" x14ac:dyDescent="0.25">
      <c r="A97">
        <v>1096</v>
      </c>
      <c r="B97" t="s">
        <v>262</v>
      </c>
      <c r="C97" t="s">
        <v>19</v>
      </c>
      <c r="D97" t="s">
        <v>20</v>
      </c>
      <c r="E97" t="s">
        <v>39</v>
      </c>
      <c r="F97" t="s">
        <v>103</v>
      </c>
      <c r="G97">
        <v>3.8</v>
      </c>
      <c r="H97">
        <v>51412</v>
      </c>
      <c r="I97" t="s">
        <v>263</v>
      </c>
      <c r="J97">
        <v>92.5</v>
      </c>
      <c r="K97">
        <v>8.1</v>
      </c>
      <c r="L97">
        <v>88.7</v>
      </c>
      <c r="M97">
        <v>51</v>
      </c>
      <c r="N97">
        <v>48</v>
      </c>
      <c r="O97">
        <v>2</v>
      </c>
      <c r="P97">
        <v>14</v>
      </c>
      <c r="Q97" t="s">
        <v>42</v>
      </c>
      <c r="R97" t="s">
        <v>25</v>
      </c>
    </row>
    <row r="98" spans="1:18" x14ac:dyDescent="0.25">
      <c r="A98">
        <v>1097</v>
      </c>
      <c r="B98" t="s">
        <v>264</v>
      </c>
      <c r="C98" t="s">
        <v>19</v>
      </c>
      <c r="D98" t="s">
        <v>137</v>
      </c>
      <c r="E98" t="s">
        <v>39</v>
      </c>
      <c r="F98" t="s">
        <v>103</v>
      </c>
      <c r="G98">
        <v>7.6</v>
      </c>
      <c r="H98">
        <v>90363</v>
      </c>
      <c r="I98" t="s">
        <v>265</v>
      </c>
      <c r="J98">
        <v>95.3</v>
      </c>
      <c r="K98">
        <v>12.7</v>
      </c>
      <c r="L98">
        <v>81.900000000000006</v>
      </c>
      <c r="M98">
        <v>70</v>
      </c>
      <c r="N98">
        <v>64</v>
      </c>
      <c r="O98">
        <v>0</v>
      </c>
      <c r="P98">
        <v>10</v>
      </c>
      <c r="Q98" t="s">
        <v>37</v>
      </c>
      <c r="R98" t="s">
        <v>25</v>
      </c>
    </row>
    <row r="99" spans="1:18" x14ac:dyDescent="0.25">
      <c r="A99">
        <v>1098</v>
      </c>
      <c r="B99" t="s">
        <v>266</v>
      </c>
      <c r="C99" t="s">
        <v>44</v>
      </c>
      <c r="D99" t="s">
        <v>70</v>
      </c>
      <c r="E99" t="s">
        <v>97</v>
      </c>
      <c r="F99" t="s">
        <v>86</v>
      </c>
      <c r="G99">
        <v>4.8</v>
      </c>
      <c r="H99">
        <v>74921</v>
      </c>
      <c r="I99" t="s">
        <v>267</v>
      </c>
      <c r="J99">
        <v>100</v>
      </c>
      <c r="K99">
        <v>17.2</v>
      </c>
      <c r="L99">
        <v>75.599999999999994</v>
      </c>
      <c r="M99">
        <v>87</v>
      </c>
      <c r="N99">
        <v>73</v>
      </c>
      <c r="O99">
        <v>0</v>
      </c>
      <c r="P99">
        <v>15</v>
      </c>
      <c r="Q99" t="s">
        <v>24</v>
      </c>
      <c r="R99" t="s">
        <v>57</v>
      </c>
    </row>
    <row r="100" spans="1:18" x14ac:dyDescent="0.25">
      <c r="A100">
        <v>1099</v>
      </c>
      <c r="B100" t="s">
        <v>268</v>
      </c>
      <c r="C100" t="s">
        <v>19</v>
      </c>
      <c r="D100" t="s">
        <v>81</v>
      </c>
      <c r="E100" t="s">
        <v>39</v>
      </c>
      <c r="F100" t="s">
        <v>86</v>
      </c>
      <c r="G100">
        <v>4.9000000000000004</v>
      </c>
      <c r="H100">
        <v>67270</v>
      </c>
      <c r="I100" t="s">
        <v>269</v>
      </c>
      <c r="J100">
        <v>96.8</v>
      </c>
      <c r="K100">
        <v>29.8</v>
      </c>
      <c r="L100">
        <v>87.1</v>
      </c>
      <c r="M100">
        <v>61</v>
      </c>
      <c r="N100">
        <v>51</v>
      </c>
      <c r="O100">
        <v>0</v>
      </c>
      <c r="P100">
        <v>17</v>
      </c>
      <c r="Q100" t="s">
        <v>37</v>
      </c>
      <c r="R100" t="s">
        <v>25</v>
      </c>
    </row>
    <row r="101" spans="1:18" x14ac:dyDescent="0.25">
      <c r="A101">
        <v>1100</v>
      </c>
      <c r="B101" t="s">
        <v>270</v>
      </c>
      <c r="C101" t="s">
        <v>27</v>
      </c>
      <c r="D101" t="s">
        <v>28</v>
      </c>
      <c r="E101" t="s">
        <v>118</v>
      </c>
      <c r="F101" t="s">
        <v>40</v>
      </c>
      <c r="G101">
        <v>4.0999999999999996</v>
      </c>
      <c r="H101">
        <v>51729</v>
      </c>
      <c r="I101" t="s">
        <v>271</v>
      </c>
      <c r="J101">
        <v>93.3</v>
      </c>
      <c r="K101">
        <v>11.2</v>
      </c>
      <c r="L101">
        <v>90</v>
      </c>
      <c r="M101">
        <v>57</v>
      </c>
      <c r="N101">
        <v>51</v>
      </c>
      <c r="O101">
        <v>3</v>
      </c>
      <c r="P101">
        <v>16</v>
      </c>
      <c r="Q101" t="s">
        <v>42</v>
      </c>
      <c r="R101" t="s">
        <v>62</v>
      </c>
    </row>
    <row r="102" spans="1:18" x14ac:dyDescent="0.25">
      <c r="A102">
        <v>1101</v>
      </c>
      <c r="B102" t="s">
        <v>272</v>
      </c>
      <c r="C102" t="s">
        <v>19</v>
      </c>
      <c r="D102" t="s">
        <v>137</v>
      </c>
      <c r="E102" t="s">
        <v>82</v>
      </c>
      <c r="F102" t="s">
        <v>22</v>
      </c>
      <c r="G102">
        <v>4.4000000000000004</v>
      </c>
      <c r="H102">
        <v>71927</v>
      </c>
      <c r="I102" t="s">
        <v>273</v>
      </c>
      <c r="J102">
        <v>86.7</v>
      </c>
      <c r="K102">
        <v>12.4</v>
      </c>
      <c r="L102">
        <v>77.099999999999994</v>
      </c>
      <c r="M102">
        <v>78</v>
      </c>
      <c r="N102">
        <v>66</v>
      </c>
      <c r="O102">
        <v>5</v>
      </c>
      <c r="P102">
        <v>3</v>
      </c>
      <c r="Q102" t="s">
        <v>24</v>
      </c>
      <c r="R102" t="s">
        <v>57</v>
      </c>
    </row>
    <row r="103" spans="1:18" x14ac:dyDescent="0.25">
      <c r="A103">
        <v>1102</v>
      </c>
      <c r="B103" t="s">
        <v>274</v>
      </c>
      <c r="C103" t="s">
        <v>19</v>
      </c>
      <c r="D103" t="s">
        <v>137</v>
      </c>
      <c r="E103" t="s">
        <v>21</v>
      </c>
      <c r="F103" t="s">
        <v>76</v>
      </c>
      <c r="G103">
        <v>5.9</v>
      </c>
      <c r="H103">
        <v>76675</v>
      </c>
      <c r="I103" t="s">
        <v>275</v>
      </c>
      <c r="J103">
        <v>94</v>
      </c>
      <c r="K103">
        <v>8.1999999999999993</v>
      </c>
      <c r="L103">
        <v>88.3</v>
      </c>
      <c r="M103">
        <v>69</v>
      </c>
      <c r="N103">
        <v>64</v>
      </c>
      <c r="O103">
        <v>3</v>
      </c>
      <c r="P103">
        <v>27</v>
      </c>
      <c r="Q103" t="s">
        <v>42</v>
      </c>
      <c r="R103" t="s">
        <v>25</v>
      </c>
    </row>
    <row r="104" spans="1:18" x14ac:dyDescent="0.25">
      <c r="A104">
        <v>1103</v>
      </c>
      <c r="B104" t="s">
        <v>276</v>
      </c>
      <c r="C104" t="s">
        <v>32</v>
      </c>
      <c r="D104" t="s">
        <v>33</v>
      </c>
      <c r="E104" t="s">
        <v>128</v>
      </c>
      <c r="F104" t="s">
        <v>22</v>
      </c>
      <c r="G104">
        <v>2.2000000000000002</v>
      </c>
      <c r="H104">
        <v>46939</v>
      </c>
      <c r="I104" t="s">
        <v>277</v>
      </c>
      <c r="J104">
        <v>96.5</v>
      </c>
      <c r="K104">
        <v>37.5</v>
      </c>
      <c r="L104">
        <v>87.7</v>
      </c>
      <c r="M104">
        <v>130</v>
      </c>
      <c r="N104">
        <v>111</v>
      </c>
      <c r="O104">
        <v>3</v>
      </c>
      <c r="P104">
        <v>23</v>
      </c>
      <c r="Q104" t="s">
        <v>37</v>
      </c>
      <c r="R104" t="s">
        <v>25</v>
      </c>
    </row>
    <row r="105" spans="1:18" x14ac:dyDescent="0.25">
      <c r="A105">
        <v>1104</v>
      </c>
      <c r="B105" t="s">
        <v>278</v>
      </c>
      <c r="C105" t="s">
        <v>32</v>
      </c>
      <c r="D105" t="s">
        <v>33</v>
      </c>
      <c r="E105" t="s">
        <v>128</v>
      </c>
      <c r="F105" t="s">
        <v>22</v>
      </c>
      <c r="G105">
        <v>5.4</v>
      </c>
      <c r="H105">
        <v>62082</v>
      </c>
      <c r="I105" t="s">
        <v>279</v>
      </c>
      <c r="J105">
        <v>92.8</v>
      </c>
      <c r="K105">
        <v>26.7</v>
      </c>
      <c r="L105">
        <v>71.7</v>
      </c>
      <c r="M105">
        <v>95</v>
      </c>
      <c r="N105">
        <v>70</v>
      </c>
      <c r="O105">
        <v>0</v>
      </c>
      <c r="P105">
        <v>6</v>
      </c>
      <c r="Q105" t="s">
        <v>37</v>
      </c>
      <c r="R105" t="s">
        <v>57</v>
      </c>
    </row>
    <row r="106" spans="1:18" x14ac:dyDescent="0.25">
      <c r="A106">
        <v>1105</v>
      </c>
      <c r="B106" t="s">
        <v>280</v>
      </c>
      <c r="C106" t="s">
        <v>44</v>
      </c>
      <c r="D106" t="s">
        <v>70</v>
      </c>
      <c r="E106" t="s">
        <v>97</v>
      </c>
      <c r="F106" t="s">
        <v>86</v>
      </c>
      <c r="G106">
        <v>8.6999999999999993</v>
      </c>
      <c r="H106">
        <v>84593</v>
      </c>
      <c r="I106" t="s">
        <v>281</v>
      </c>
      <c r="J106">
        <v>97.2</v>
      </c>
      <c r="K106">
        <v>20.7</v>
      </c>
      <c r="L106">
        <v>86.1</v>
      </c>
      <c r="M106">
        <v>96</v>
      </c>
      <c r="N106">
        <v>90</v>
      </c>
      <c r="O106">
        <v>5</v>
      </c>
      <c r="P106">
        <v>19</v>
      </c>
      <c r="Q106" t="s">
        <v>24</v>
      </c>
      <c r="R106" t="s">
        <v>25</v>
      </c>
    </row>
    <row r="107" spans="1:18" x14ac:dyDescent="0.25">
      <c r="A107">
        <v>1106</v>
      </c>
      <c r="B107" t="s">
        <v>282</v>
      </c>
      <c r="C107" t="s">
        <v>27</v>
      </c>
      <c r="D107" t="s">
        <v>64</v>
      </c>
      <c r="E107" t="s">
        <v>118</v>
      </c>
      <c r="F107" t="s">
        <v>103</v>
      </c>
      <c r="G107">
        <v>3.9</v>
      </c>
      <c r="H107">
        <v>72088</v>
      </c>
      <c r="I107" t="s">
        <v>283</v>
      </c>
      <c r="J107">
        <v>89.9</v>
      </c>
      <c r="K107">
        <v>23.1</v>
      </c>
      <c r="L107">
        <v>82</v>
      </c>
      <c r="M107">
        <v>75</v>
      </c>
      <c r="N107">
        <v>68</v>
      </c>
      <c r="O107">
        <v>3</v>
      </c>
      <c r="P107">
        <v>14</v>
      </c>
      <c r="Q107" t="s">
        <v>24</v>
      </c>
      <c r="R107" t="s">
        <v>25</v>
      </c>
    </row>
    <row r="108" spans="1:18" x14ac:dyDescent="0.25">
      <c r="A108">
        <v>1107</v>
      </c>
      <c r="B108" t="s">
        <v>284</v>
      </c>
      <c r="C108" t="s">
        <v>89</v>
      </c>
      <c r="D108" t="s">
        <v>90</v>
      </c>
      <c r="E108" t="s">
        <v>91</v>
      </c>
      <c r="F108" t="s">
        <v>35</v>
      </c>
      <c r="G108">
        <v>5.6</v>
      </c>
      <c r="H108">
        <v>70831</v>
      </c>
      <c r="I108" t="s">
        <v>285</v>
      </c>
      <c r="J108">
        <v>90.8</v>
      </c>
      <c r="K108">
        <v>18.2</v>
      </c>
      <c r="L108">
        <v>91.8</v>
      </c>
      <c r="M108">
        <v>99</v>
      </c>
      <c r="N108">
        <v>87</v>
      </c>
      <c r="O108">
        <v>2</v>
      </c>
      <c r="P108">
        <v>21</v>
      </c>
      <c r="Q108" t="s">
        <v>42</v>
      </c>
      <c r="R108" t="s">
        <v>62</v>
      </c>
    </row>
    <row r="109" spans="1:18" x14ac:dyDescent="0.25">
      <c r="A109">
        <v>1108</v>
      </c>
      <c r="B109" t="s">
        <v>286</v>
      </c>
      <c r="C109" t="s">
        <v>27</v>
      </c>
      <c r="D109" t="s">
        <v>64</v>
      </c>
      <c r="E109" t="s">
        <v>29</v>
      </c>
      <c r="F109" t="s">
        <v>35</v>
      </c>
      <c r="G109">
        <v>6.3</v>
      </c>
      <c r="H109">
        <v>69786</v>
      </c>
      <c r="I109" t="s">
        <v>287</v>
      </c>
      <c r="J109">
        <v>90.3</v>
      </c>
      <c r="K109">
        <v>17.7</v>
      </c>
      <c r="L109">
        <v>82.2</v>
      </c>
      <c r="M109">
        <v>80</v>
      </c>
      <c r="N109">
        <v>65</v>
      </c>
      <c r="O109">
        <v>4</v>
      </c>
      <c r="P109">
        <v>8</v>
      </c>
      <c r="Q109" t="s">
        <v>42</v>
      </c>
      <c r="R109" t="s">
        <v>25</v>
      </c>
    </row>
    <row r="110" spans="1:18" x14ac:dyDescent="0.25">
      <c r="A110">
        <v>1109</v>
      </c>
      <c r="B110" t="s">
        <v>288</v>
      </c>
      <c r="C110" t="s">
        <v>44</v>
      </c>
      <c r="D110" t="s">
        <v>45</v>
      </c>
      <c r="E110" t="s">
        <v>97</v>
      </c>
      <c r="F110" t="s">
        <v>22</v>
      </c>
      <c r="G110">
        <v>1.7</v>
      </c>
      <c r="H110">
        <v>37922</v>
      </c>
      <c r="I110" t="s">
        <v>289</v>
      </c>
      <c r="J110">
        <v>94.6</v>
      </c>
      <c r="K110">
        <v>24.4</v>
      </c>
      <c r="L110">
        <v>76.400000000000006</v>
      </c>
      <c r="M110">
        <v>104</v>
      </c>
      <c r="N110">
        <v>86</v>
      </c>
      <c r="O110">
        <v>7</v>
      </c>
      <c r="P110">
        <v>23</v>
      </c>
      <c r="Q110" t="s">
        <v>37</v>
      </c>
      <c r="R110" t="s">
        <v>57</v>
      </c>
    </row>
    <row r="111" spans="1:18" x14ac:dyDescent="0.25">
      <c r="A111">
        <v>1110</v>
      </c>
      <c r="B111" t="s">
        <v>290</v>
      </c>
      <c r="C111" t="s">
        <v>32</v>
      </c>
      <c r="D111" t="s">
        <v>106</v>
      </c>
      <c r="E111" t="s">
        <v>94</v>
      </c>
      <c r="F111" t="s">
        <v>35</v>
      </c>
      <c r="G111">
        <v>3.7</v>
      </c>
      <c r="H111">
        <v>65155</v>
      </c>
      <c r="I111" t="s">
        <v>291</v>
      </c>
      <c r="J111">
        <v>90.3</v>
      </c>
      <c r="K111">
        <v>19.399999999999999</v>
      </c>
      <c r="L111">
        <v>80.3</v>
      </c>
      <c r="M111">
        <v>125</v>
      </c>
      <c r="N111">
        <v>100</v>
      </c>
      <c r="O111">
        <v>1</v>
      </c>
      <c r="P111">
        <v>10</v>
      </c>
      <c r="Q111" t="s">
        <v>24</v>
      </c>
      <c r="R111" t="s">
        <v>25</v>
      </c>
    </row>
    <row r="112" spans="1:18" x14ac:dyDescent="0.25">
      <c r="A112">
        <v>1111</v>
      </c>
      <c r="B112" t="s">
        <v>292</v>
      </c>
      <c r="C112" t="s">
        <v>19</v>
      </c>
      <c r="D112" t="s">
        <v>137</v>
      </c>
      <c r="E112" t="s">
        <v>21</v>
      </c>
      <c r="F112" t="s">
        <v>86</v>
      </c>
      <c r="G112">
        <v>7.9</v>
      </c>
      <c r="H112">
        <v>83609</v>
      </c>
      <c r="I112" t="s">
        <v>293</v>
      </c>
      <c r="J112">
        <v>90.7</v>
      </c>
      <c r="K112">
        <v>14.5</v>
      </c>
      <c r="L112">
        <v>74.099999999999994</v>
      </c>
      <c r="M112">
        <v>93</v>
      </c>
      <c r="N112">
        <v>69</v>
      </c>
      <c r="O112">
        <v>2</v>
      </c>
      <c r="P112">
        <v>13</v>
      </c>
      <c r="Q112" t="s">
        <v>37</v>
      </c>
      <c r="R112" t="s">
        <v>57</v>
      </c>
    </row>
    <row r="113" spans="1:18" x14ac:dyDescent="0.25">
      <c r="A113">
        <v>1112</v>
      </c>
      <c r="B113" t="s">
        <v>294</v>
      </c>
      <c r="C113" t="s">
        <v>49</v>
      </c>
      <c r="D113" t="s">
        <v>50</v>
      </c>
      <c r="E113" t="s">
        <v>51</v>
      </c>
      <c r="F113" t="s">
        <v>103</v>
      </c>
      <c r="G113">
        <v>1.8</v>
      </c>
      <c r="H113">
        <v>55898</v>
      </c>
      <c r="I113" t="s">
        <v>295</v>
      </c>
      <c r="J113">
        <v>95.3</v>
      </c>
      <c r="K113">
        <v>3.5</v>
      </c>
      <c r="L113">
        <v>93.4</v>
      </c>
      <c r="M113">
        <v>51</v>
      </c>
      <c r="N113">
        <v>46</v>
      </c>
      <c r="O113">
        <v>0</v>
      </c>
      <c r="P113">
        <v>17</v>
      </c>
      <c r="Q113" t="s">
        <v>42</v>
      </c>
      <c r="R113" t="s">
        <v>62</v>
      </c>
    </row>
    <row r="114" spans="1:18" x14ac:dyDescent="0.25">
      <c r="A114">
        <v>1113</v>
      </c>
      <c r="B114" t="s">
        <v>296</v>
      </c>
      <c r="C114" t="s">
        <v>27</v>
      </c>
      <c r="D114" t="s">
        <v>28</v>
      </c>
      <c r="E114" t="s">
        <v>29</v>
      </c>
      <c r="F114" t="s">
        <v>40</v>
      </c>
      <c r="G114">
        <v>7.7</v>
      </c>
      <c r="H114">
        <v>82899</v>
      </c>
      <c r="I114" t="s">
        <v>297</v>
      </c>
      <c r="J114">
        <v>100</v>
      </c>
      <c r="K114">
        <v>17</v>
      </c>
      <c r="L114">
        <v>95.6</v>
      </c>
      <c r="M114">
        <v>79</v>
      </c>
      <c r="N114">
        <v>70</v>
      </c>
      <c r="O114">
        <v>0</v>
      </c>
      <c r="P114">
        <v>11</v>
      </c>
      <c r="Q114" t="s">
        <v>42</v>
      </c>
      <c r="R114" t="s">
        <v>62</v>
      </c>
    </row>
    <row r="115" spans="1:18" x14ac:dyDescent="0.25">
      <c r="A115">
        <v>1114</v>
      </c>
      <c r="B115" t="s">
        <v>298</v>
      </c>
      <c r="C115" t="s">
        <v>49</v>
      </c>
      <c r="D115" t="s">
        <v>50</v>
      </c>
      <c r="E115" t="s">
        <v>60</v>
      </c>
      <c r="F115" t="s">
        <v>86</v>
      </c>
      <c r="G115">
        <v>5.5</v>
      </c>
      <c r="H115">
        <v>59138</v>
      </c>
      <c r="I115" t="s">
        <v>299</v>
      </c>
      <c r="J115">
        <v>90.9</v>
      </c>
      <c r="K115">
        <v>19.8</v>
      </c>
      <c r="L115">
        <v>91.6</v>
      </c>
      <c r="M115">
        <v>62</v>
      </c>
      <c r="N115">
        <v>58</v>
      </c>
      <c r="O115">
        <v>1</v>
      </c>
      <c r="P115">
        <v>15</v>
      </c>
      <c r="Q115" t="s">
        <v>42</v>
      </c>
      <c r="R115" t="s">
        <v>62</v>
      </c>
    </row>
    <row r="116" spans="1:18" x14ac:dyDescent="0.25">
      <c r="A116">
        <v>1115</v>
      </c>
      <c r="B116" t="s">
        <v>300</v>
      </c>
      <c r="C116" t="s">
        <v>89</v>
      </c>
      <c r="D116" t="s">
        <v>121</v>
      </c>
      <c r="E116" t="s">
        <v>111</v>
      </c>
      <c r="F116" t="s">
        <v>76</v>
      </c>
      <c r="G116">
        <v>4.4000000000000004</v>
      </c>
      <c r="H116">
        <v>63936</v>
      </c>
      <c r="I116" t="s">
        <v>301</v>
      </c>
      <c r="J116">
        <v>94</v>
      </c>
      <c r="K116">
        <v>27.5</v>
      </c>
      <c r="L116">
        <v>89.4</v>
      </c>
      <c r="M116">
        <v>89</v>
      </c>
      <c r="N116">
        <v>83</v>
      </c>
      <c r="O116">
        <v>2</v>
      </c>
      <c r="P116">
        <v>12</v>
      </c>
      <c r="Q116" t="s">
        <v>24</v>
      </c>
      <c r="R116" t="s">
        <v>25</v>
      </c>
    </row>
    <row r="117" spans="1:18" x14ac:dyDescent="0.25">
      <c r="A117">
        <v>1116</v>
      </c>
      <c r="B117" t="s">
        <v>302</v>
      </c>
      <c r="C117" t="s">
        <v>49</v>
      </c>
      <c r="D117" t="s">
        <v>59</v>
      </c>
      <c r="E117" t="s">
        <v>51</v>
      </c>
      <c r="F117" t="s">
        <v>103</v>
      </c>
      <c r="G117">
        <v>1.2</v>
      </c>
      <c r="H117">
        <v>45843</v>
      </c>
      <c r="I117" t="s">
        <v>303</v>
      </c>
      <c r="J117">
        <v>87.6</v>
      </c>
      <c r="K117">
        <v>7.6</v>
      </c>
      <c r="L117">
        <v>78.900000000000006</v>
      </c>
      <c r="M117">
        <v>60</v>
      </c>
      <c r="N117">
        <v>47</v>
      </c>
      <c r="O117">
        <v>4</v>
      </c>
      <c r="P117">
        <v>9</v>
      </c>
      <c r="Q117" t="s">
        <v>24</v>
      </c>
      <c r="R117" t="s">
        <v>57</v>
      </c>
    </row>
    <row r="118" spans="1:18" x14ac:dyDescent="0.25">
      <c r="A118">
        <v>1117</v>
      </c>
      <c r="B118" t="s">
        <v>304</v>
      </c>
      <c r="C118" t="s">
        <v>32</v>
      </c>
      <c r="D118" t="s">
        <v>67</v>
      </c>
      <c r="E118" t="s">
        <v>94</v>
      </c>
      <c r="F118" t="s">
        <v>86</v>
      </c>
      <c r="G118">
        <v>2.8</v>
      </c>
      <c r="H118">
        <v>43868</v>
      </c>
      <c r="I118" t="s">
        <v>305</v>
      </c>
      <c r="J118">
        <v>93.7</v>
      </c>
      <c r="K118">
        <v>22.6</v>
      </c>
      <c r="L118">
        <v>82.9</v>
      </c>
      <c r="M118">
        <v>121</v>
      </c>
      <c r="N118">
        <v>97</v>
      </c>
      <c r="O118">
        <v>4</v>
      </c>
      <c r="P118">
        <v>20</v>
      </c>
      <c r="Q118" t="s">
        <v>24</v>
      </c>
      <c r="R118" t="s">
        <v>25</v>
      </c>
    </row>
    <row r="119" spans="1:18" x14ac:dyDescent="0.25">
      <c r="A119">
        <v>1118</v>
      </c>
      <c r="B119" t="s">
        <v>306</v>
      </c>
      <c r="C119" t="s">
        <v>19</v>
      </c>
      <c r="D119" t="s">
        <v>20</v>
      </c>
      <c r="E119" t="s">
        <v>82</v>
      </c>
      <c r="F119" t="s">
        <v>86</v>
      </c>
      <c r="G119">
        <v>6.8</v>
      </c>
      <c r="H119">
        <v>88059</v>
      </c>
      <c r="I119" t="s">
        <v>307</v>
      </c>
      <c r="J119">
        <v>97</v>
      </c>
      <c r="K119">
        <v>12.8</v>
      </c>
      <c r="L119">
        <v>95.3</v>
      </c>
      <c r="M119">
        <v>70</v>
      </c>
      <c r="N119">
        <v>64</v>
      </c>
      <c r="O119">
        <v>0</v>
      </c>
      <c r="P119">
        <v>26</v>
      </c>
      <c r="Q119" t="s">
        <v>24</v>
      </c>
      <c r="R119" t="s">
        <v>62</v>
      </c>
    </row>
    <row r="120" spans="1:18" x14ac:dyDescent="0.25">
      <c r="A120">
        <v>1119</v>
      </c>
      <c r="B120" t="s">
        <v>308</v>
      </c>
      <c r="C120" t="s">
        <v>27</v>
      </c>
      <c r="D120" t="s">
        <v>75</v>
      </c>
      <c r="E120" t="s">
        <v>118</v>
      </c>
      <c r="F120" t="s">
        <v>35</v>
      </c>
      <c r="G120">
        <v>2.9</v>
      </c>
      <c r="H120">
        <v>56365</v>
      </c>
      <c r="I120" t="s">
        <v>309</v>
      </c>
      <c r="J120">
        <v>92.1</v>
      </c>
      <c r="K120">
        <v>21.9</v>
      </c>
      <c r="L120">
        <v>95.7</v>
      </c>
      <c r="M120">
        <v>97</v>
      </c>
      <c r="N120">
        <v>97</v>
      </c>
      <c r="O120">
        <v>0</v>
      </c>
      <c r="P120">
        <v>21</v>
      </c>
      <c r="Q120" t="s">
        <v>42</v>
      </c>
      <c r="R120" t="s">
        <v>62</v>
      </c>
    </row>
    <row r="121" spans="1:18" x14ac:dyDescent="0.25">
      <c r="A121">
        <v>1120</v>
      </c>
      <c r="B121" t="s">
        <v>310</v>
      </c>
      <c r="C121" t="s">
        <v>19</v>
      </c>
      <c r="D121" t="s">
        <v>81</v>
      </c>
      <c r="E121" t="s">
        <v>21</v>
      </c>
      <c r="F121" t="s">
        <v>22</v>
      </c>
      <c r="G121">
        <v>7.2</v>
      </c>
      <c r="H121">
        <v>89718</v>
      </c>
      <c r="I121" t="s">
        <v>311</v>
      </c>
      <c r="J121">
        <v>94.3</v>
      </c>
      <c r="K121">
        <v>22.3</v>
      </c>
      <c r="L121">
        <v>79.5</v>
      </c>
      <c r="M121">
        <v>90</v>
      </c>
      <c r="N121">
        <v>68</v>
      </c>
      <c r="O121">
        <v>0</v>
      </c>
      <c r="P121">
        <v>8</v>
      </c>
      <c r="Q121" t="s">
        <v>24</v>
      </c>
      <c r="R121" t="s">
        <v>57</v>
      </c>
    </row>
    <row r="122" spans="1:18" x14ac:dyDescent="0.25">
      <c r="A122">
        <v>1121</v>
      </c>
      <c r="B122" t="s">
        <v>312</v>
      </c>
      <c r="C122" t="s">
        <v>27</v>
      </c>
      <c r="D122" t="s">
        <v>75</v>
      </c>
      <c r="E122" t="s">
        <v>118</v>
      </c>
      <c r="F122" t="s">
        <v>103</v>
      </c>
      <c r="G122">
        <v>5.3</v>
      </c>
      <c r="H122">
        <v>75421</v>
      </c>
      <c r="I122" t="s">
        <v>313</v>
      </c>
      <c r="J122">
        <v>86.6</v>
      </c>
      <c r="K122">
        <v>27.6</v>
      </c>
      <c r="L122">
        <v>80.5</v>
      </c>
      <c r="M122">
        <v>81</v>
      </c>
      <c r="N122">
        <v>63</v>
      </c>
      <c r="O122">
        <v>2</v>
      </c>
      <c r="P122">
        <v>16</v>
      </c>
      <c r="Q122" t="s">
        <v>24</v>
      </c>
      <c r="R122" t="s">
        <v>25</v>
      </c>
    </row>
    <row r="123" spans="1:18" x14ac:dyDescent="0.25">
      <c r="A123">
        <v>1122</v>
      </c>
      <c r="B123" t="s">
        <v>314</v>
      </c>
      <c r="C123" t="s">
        <v>89</v>
      </c>
      <c r="D123" t="s">
        <v>90</v>
      </c>
      <c r="E123" t="s">
        <v>91</v>
      </c>
      <c r="F123" t="s">
        <v>86</v>
      </c>
      <c r="G123">
        <v>5.0999999999999996</v>
      </c>
      <c r="H123">
        <v>61133</v>
      </c>
      <c r="I123" t="s">
        <v>315</v>
      </c>
      <c r="J123">
        <v>87.4</v>
      </c>
      <c r="K123">
        <v>13</v>
      </c>
      <c r="L123">
        <v>89.6</v>
      </c>
      <c r="M123">
        <v>73</v>
      </c>
      <c r="N123">
        <v>63</v>
      </c>
      <c r="O123">
        <v>3</v>
      </c>
      <c r="P123">
        <v>27</v>
      </c>
      <c r="Q123" t="s">
        <v>24</v>
      </c>
      <c r="R123" t="s">
        <v>25</v>
      </c>
    </row>
    <row r="124" spans="1:18" x14ac:dyDescent="0.25">
      <c r="A124">
        <v>1123</v>
      </c>
      <c r="B124" t="s">
        <v>316</v>
      </c>
      <c r="C124" t="s">
        <v>89</v>
      </c>
      <c r="D124" t="s">
        <v>90</v>
      </c>
      <c r="E124" t="s">
        <v>152</v>
      </c>
      <c r="F124" t="s">
        <v>35</v>
      </c>
      <c r="G124">
        <v>5.5</v>
      </c>
      <c r="H124">
        <v>78409</v>
      </c>
      <c r="I124" t="s">
        <v>317</v>
      </c>
      <c r="J124">
        <v>91.7</v>
      </c>
      <c r="K124">
        <v>9.6999999999999993</v>
      </c>
      <c r="L124">
        <v>88.7</v>
      </c>
      <c r="M124">
        <v>89</v>
      </c>
      <c r="N124">
        <v>80</v>
      </c>
      <c r="O124">
        <v>5</v>
      </c>
      <c r="P124">
        <v>16</v>
      </c>
      <c r="Q124" t="s">
        <v>24</v>
      </c>
      <c r="R124" t="s">
        <v>25</v>
      </c>
    </row>
    <row r="125" spans="1:18" x14ac:dyDescent="0.25">
      <c r="A125">
        <v>1124</v>
      </c>
      <c r="B125" t="s">
        <v>318</v>
      </c>
      <c r="C125" t="s">
        <v>27</v>
      </c>
      <c r="D125" t="s">
        <v>64</v>
      </c>
      <c r="E125" t="s">
        <v>118</v>
      </c>
      <c r="F125" t="s">
        <v>40</v>
      </c>
      <c r="G125">
        <v>5.8</v>
      </c>
      <c r="H125">
        <v>86920</v>
      </c>
      <c r="I125" t="s">
        <v>319</v>
      </c>
      <c r="J125">
        <v>94.1</v>
      </c>
      <c r="K125">
        <v>13.7</v>
      </c>
      <c r="L125">
        <v>90.9</v>
      </c>
      <c r="M125">
        <v>93</v>
      </c>
      <c r="N125">
        <v>86</v>
      </c>
      <c r="O125">
        <v>0</v>
      </c>
      <c r="P125">
        <v>15</v>
      </c>
      <c r="Q125" t="s">
        <v>42</v>
      </c>
      <c r="R125" t="s">
        <v>62</v>
      </c>
    </row>
    <row r="126" spans="1:18" x14ac:dyDescent="0.25">
      <c r="A126">
        <v>1125</v>
      </c>
      <c r="B126" t="s">
        <v>320</v>
      </c>
      <c r="C126" t="s">
        <v>27</v>
      </c>
      <c r="D126" t="s">
        <v>64</v>
      </c>
      <c r="E126" t="s">
        <v>29</v>
      </c>
      <c r="F126" t="s">
        <v>22</v>
      </c>
      <c r="G126">
        <v>3.8</v>
      </c>
      <c r="H126">
        <v>54284</v>
      </c>
      <c r="I126" t="s">
        <v>321</v>
      </c>
      <c r="J126">
        <v>93.3</v>
      </c>
      <c r="K126">
        <v>20.9</v>
      </c>
      <c r="L126">
        <v>87.9</v>
      </c>
      <c r="M126">
        <v>82</v>
      </c>
      <c r="N126">
        <v>77</v>
      </c>
      <c r="O126">
        <v>3</v>
      </c>
      <c r="P126">
        <v>10</v>
      </c>
      <c r="Q126" t="s">
        <v>42</v>
      </c>
      <c r="R126" t="s">
        <v>25</v>
      </c>
    </row>
    <row r="127" spans="1:18" x14ac:dyDescent="0.25">
      <c r="A127">
        <v>1126</v>
      </c>
      <c r="B127" t="s">
        <v>322</v>
      </c>
      <c r="C127" t="s">
        <v>89</v>
      </c>
      <c r="D127" t="s">
        <v>102</v>
      </c>
      <c r="E127" t="s">
        <v>152</v>
      </c>
      <c r="F127" t="s">
        <v>35</v>
      </c>
      <c r="G127">
        <v>5.2</v>
      </c>
      <c r="H127">
        <v>74823</v>
      </c>
      <c r="I127" t="s">
        <v>323</v>
      </c>
      <c r="J127">
        <v>98.6</v>
      </c>
      <c r="K127">
        <v>24.8</v>
      </c>
      <c r="L127">
        <v>91.5</v>
      </c>
      <c r="M127">
        <v>95</v>
      </c>
      <c r="N127">
        <v>94</v>
      </c>
      <c r="O127">
        <v>0</v>
      </c>
      <c r="P127">
        <v>12</v>
      </c>
      <c r="Q127" t="s">
        <v>42</v>
      </c>
      <c r="R127" t="s">
        <v>62</v>
      </c>
    </row>
    <row r="128" spans="1:18" x14ac:dyDescent="0.25">
      <c r="A128">
        <v>1127</v>
      </c>
      <c r="B128" t="s">
        <v>324</v>
      </c>
      <c r="C128" t="s">
        <v>89</v>
      </c>
      <c r="D128" t="s">
        <v>121</v>
      </c>
      <c r="E128" t="s">
        <v>91</v>
      </c>
      <c r="F128" t="s">
        <v>103</v>
      </c>
      <c r="G128">
        <v>6.3</v>
      </c>
      <c r="H128">
        <v>72319</v>
      </c>
      <c r="I128" t="s">
        <v>325</v>
      </c>
      <c r="J128">
        <v>90.6</v>
      </c>
      <c r="K128">
        <v>17.399999999999999</v>
      </c>
      <c r="L128">
        <v>93.4</v>
      </c>
      <c r="M128">
        <v>93</v>
      </c>
      <c r="N128">
        <v>89</v>
      </c>
      <c r="O128">
        <v>4</v>
      </c>
      <c r="P128">
        <v>20</v>
      </c>
      <c r="Q128" t="s">
        <v>42</v>
      </c>
      <c r="R128" t="s">
        <v>62</v>
      </c>
    </row>
    <row r="129" spans="1:18" x14ac:dyDescent="0.25">
      <c r="A129">
        <v>1128</v>
      </c>
      <c r="B129" t="s">
        <v>326</v>
      </c>
      <c r="C129" t="s">
        <v>32</v>
      </c>
      <c r="D129" t="s">
        <v>33</v>
      </c>
      <c r="E129" t="s">
        <v>128</v>
      </c>
      <c r="F129" t="s">
        <v>22</v>
      </c>
      <c r="G129">
        <v>4.3</v>
      </c>
      <c r="H129">
        <v>70134</v>
      </c>
      <c r="I129" t="s">
        <v>327</v>
      </c>
      <c r="J129">
        <v>91.5</v>
      </c>
      <c r="K129">
        <v>29.5</v>
      </c>
      <c r="L129">
        <v>82.4</v>
      </c>
      <c r="M129">
        <v>117</v>
      </c>
      <c r="N129">
        <v>104</v>
      </c>
      <c r="O129">
        <v>3</v>
      </c>
      <c r="P129">
        <v>15</v>
      </c>
      <c r="Q129" t="s">
        <v>37</v>
      </c>
      <c r="R129" t="s">
        <v>25</v>
      </c>
    </row>
    <row r="130" spans="1:18" x14ac:dyDescent="0.25">
      <c r="A130">
        <v>1129</v>
      </c>
      <c r="B130" t="s">
        <v>328</v>
      </c>
      <c r="C130" t="s">
        <v>19</v>
      </c>
      <c r="D130" t="s">
        <v>81</v>
      </c>
      <c r="E130" t="s">
        <v>82</v>
      </c>
      <c r="F130" t="s">
        <v>103</v>
      </c>
      <c r="G130">
        <v>2.2000000000000002</v>
      </c>
      <c r="H130">
        <v>43661</v>
      </c>
      <c r="I130" t="s">
        <v>329</v>
      </c>
      <c r="J130">
        <v>93.9</v>
      </c>
      <c r="K130">
        <v>4.5</v>
      </c>
      <c r="L130">
        <v>90.1</v>
      </c>
      <c r="M130">
        <v>107</v>
      </c>
      <c r="N130">
        <v>89</v>
      </c>
      <c r="O130">
        <v>3</v>
      </c>
      <c r="P130">
        <v>14</v>
      </c>
      <c r="Q130" t="s">
        <v>42</v>
      </c>
      <c r="R130" t="s">
        <v>62</v>
      </c>
    </row>
    <row r="131" spans="1:18" x14ac:dyDescent="0.25">
      <c r="A131">
        <v>1130</v>
      </c>
      <c r="B131" t="s">
        <v>330</v>
      </c>
      <c r="C131" t="s">
        <v>44</v>
      </c>
      <c r="D131" t="s">
        <v>45</v>
      </c>
      <c r="E131" t="s">
        <v>46</v>
      </c>
      <c r="F131" t="s">
        <v>76</v>
      </c>
      <c r="G131">
        <v>7.2</v>
      </c>
      <c r="H131">
        <v>73075</v>
      </c>
      <c r="I131" t="s">
        <v>331</v>
      </c>
      <c r="J131">
        <v>99.1</v>
      </c>
      <c r="K131">
        <v>12.7</v>
      </c>
      <c r="L131">
        <v>87.2</v>
      </c>
      <c r="M131">
        <v>97</v>
      </c>
      <c r="N131">
        <v>87</v>
      </c>
      <c r="O131">
        <v>3</v>
      </c>
      <c r="P131">
        <v>30</v>
      </c>
      <c r="Q131" t="s">
        <v>24</v>
      </c>
      <c r="R131" t="s">
        <v>25</v>
      </c>
    </row>
    <row r="132" spans="1:18" x14ac:dyDescent="0.25">
      <c r="A132">
        <v>1131</v>
      </c>
      <c r="B132" t="s">
        <v>332</v>
      </c>
      <c r="C132" t="s">
        <v>49</v>
      </c>
      <c r="D132" t="s">
        <v>50</v>
      </c>
      <c r="E132" t="s">
        <v>51</v>
      </c>
      <c r="F132" t="s">
        <v>86</v>
      </c>
      <c r="G132">
        <v>4.2</v>
      </c>
      <c r="H132">
        <v>59149</v>
      </c>
      <c r="I132" t="s">
        <v>333</v>
      </c>
      <c r="J132">
        <v>96</v>
      </c>
      <c r="K132">
        <v>13.9</v>
      </c>
      <c r="L132">
        <v>89.1</v>
      </c>
      <c r="M132">
        <v>47</v>
      </c>
      <c r="N132">
        <v>47</v>
      </c>
      <c r="O132">
        <v>0</v>
      </c>
      <c r="P132">
        <v>13</v>
      </c>
      <c r="Q132" t="s">
        <v>42</v>
      </c>
      <c r="R132" t="s">
        <v>25</v>
      </c>
    </row>
    <row r="133" spans="1:18" x14ac:dyDescent="0.25">
      <c r="A133">
        <v>1132</v>
      </c>
      <c r="B133" t="s">
        <v>334</v>
      </c>
      <c r="C133" t="s">
        <v>44</v>
      </c>
      <c r="D133" t="s">
        <v>54</v>
      </c>
      <c r="E133" t="s">
        <v>55</v>
      </c>
      <c r="F133" t="s">
        <v>76</v>
      </c>
      <c r="G133">
        <v>5.4</v>
      </c>
      <c r="H133">
        <v>71447</v>
      </c>
      <c r="I133" t="s">
        <v>335</v>
      </c>
      <c r="J133">
        <v>92.1</v>
      </c>
      <c r="K133">
        <v>21</v>
      </c>
      <c r="L133">
        <v>73.3</v>
      </c>
      <c r="M133">
        <v>118</v>
      </c>
      <c r="N133">
        <v>92</v>
      </c>
      <c r="O133">
        <v>5</v>
      </c>
      <c r="P133">
        <v>18</v>
      </c>
      <c r="Q133" t="s">
        <v>37</v>
      </c>
      <c r="R133" t="s">
        <v>57</v>
      </c>
    </row>
    <row r="134" spans="1:18" x14ac:dyDescent="0.25">
      <c r="A134">
        <v>1133</v>
      </c>
      <c r="B134" t="s">
        <v>336</v>
      </c>
      <c r="C134" t="s">
        <v>19</v>
      </c>
      <c r="D134" t="s">
        <v>137</v>
      </c>
      <c r="E134" t="s">
        <v>21</v>
      </c>
      <c r="F134" t="s">
        <v>103</v>
      </c>
      <c r="G134">
        <v>3</v>
      </c>
      <c r="H134">
        <v>51203</v>
      </c>
      <c r="I134" t="s">
        <v>337</v>
      </c>
      <c r="J134">
        <v>90.2</v>
      </c>
      <c r="K134">
        <v>13.9</v>
      </c>
      <c r="L134">
        <v>71</v>
      </c>
      <c r="M134">
        <v>87</v>
      </c>
      <c r="N134">
        <v>68</v>
      </c>
      <c r="O134">
        <v>1</v>
      </c>
      <c r="P134">
        <v>4</v>
      </c>
      <c r="Q134" t="s">
        <v>24</v>
      </c>
      <c r="R134" t="s">
        <v>57</v>
      </c>
    </row>
    <row r="135" spans="1:18" x14ac:dyDescent="0.25">
      <c r="A135">
        <v>1134</v>
      </c>
      <c r="B135" t="s">
        <v>338</v>
      </c>
      <c r="C135" t="s">
        <v>19</v>
      </c>
      <c r="D135" t="s">
        <v>20</v>
      </c>
      <c r="E135" t="s">
        <v>39</v>
      </c>
      <c r="F135" t="s">
        <v>86</v>
      </c>
      <c r="G135">
        <v>5.5</v>
      </c>
      <c r="H135">
        <v>79837</v>
      </c>
      <c r="I135" t="s">
        <v>339</v>
      </c>
      <c r="J135">
        <v>89.5</v>
      </c>
      <c r="K135">
        <v>15.5</v>
      </c>
      <c r="L135">
        <v>80.099999999999994</v>
      </c>
      <c r="M135">
        <v>92</v>
      </c>
      <c r="N135">
        <v>85</v>
      </c>
      <c r="O135">
        <v>3</v>
      </c>
      <c r="P135">
        <v>14</v>
      </c>
      <c r="Q135" t="s">
        <v>24</v>
      </c>
      <c r="R135" t="s">
        <v>25</v>
      </c>
    </row>
    <row r="136" spans="1:18" x14ac:dyDescent="0.25">
      <c r="A136">
        <v>1135</v>
      </c>
      <c r="B136" t="s">
        <v>340</v>
      </c>
      <c r="C136" t="s">
        <v>89</v>
      </c>
      <c r="D136" t="s">
        <v>90</v>
      </c>
      <c r="E136" t="s">
        <v>111</v>
      </c>
      <c r="F136" t="s">
        <v>76</v>
      </c>
      <c r="G136">
        <v>3</v>
      </c>
      <c r="H136">
        <v>58493</v>
      </c>
      <c r="I136" t="s">
        <v>341</v>
      </c>
      <c r="J136">
        <v>92.5</v>
      </c>
      <c r="K136">
        <v>19.899999999999999</v>
      </c>
      <c r="L136">
        <v>95.3</v>
      </c>
      <c r="M136">
        <v>68</v>
      </c>
      <c r="N136">
        <v>63</v>
      </c>
      <c r="O136">
        <v>1</v>
      </c>
      <c r="P136">
        <v>20</v>
      </c>
      <c r="Q136" t="s">
        <v>24</v>
      </c>
      <c r="R136" t="s">
        <v>62</v>
      </c>
    </row>
    <row r="137" spans="1:18" x14ac:dyDescent="0.25">
      <c r="A137">
        <v>1136</v>
      </c>
      <c r="B137" t="s">
        <v>342</v>
      </c>
      <c r="C137" t="s">
        <v>32</v>
      </c>
      <c r="D137" t="s">
        <v>33</v>
      </c>
      <c r="E137" t="s">
        <v>128</v>
      </c>
      <c r="F137" t="s">
        <v>40</v>
      </c>
      <c r="G137">
        <v>7.2</v>
      </c>
      <c r="H137">
        <v>70107</v>
      </c>
      <c r="I137" t="s">
        <v>343</v>
      </c>
      <c r="J137">
        <v>94.5</v>
      </c>
      <c r="K137">
        <v>23.8</v>
      </c>
      <c r="L137">
        <v>82.9</v>
      </c>
      <c r="M137">
        <v>92</v>
      </c>
      <c r="N137">
        <v>69</v>
      </c>
      <c r="O137">
        <v>1</v>
      </c>
      <c r="P137">
        <v>14</v>
      </c>
      <c r="Q137" t="s">
        <v>37</v>
      </c>
      <c r="R137" t="s">
        <v>25</v>
      </c>
    </row>
    <row r="138" spans="1:18" x14ac:dyDescent="0.25">
      <c r="A138">
        <v>1137</v>
      </c>
      <c r="B138" t="s">
        <v>344</v>
      </c>
      <c r="C138" t="s">
        <v>32</v>
      </c>
      <c r="D138" t="s">
        <v>106</v>
      </c>
      <c r="E138" t="s">
        <v>94</v>
      </c>
      <c r="F138" t="s">
        <v>40</v>
      </c>
      <c r="G138">
        <v>4.9000000000000004</v>
      </c>
      <c r="H138">
        <v>63848</v>
      </c>
      <c r="I138" t="s">
        <v>345</v>
      </c>
      <c r="J138">
        <v>87.4</v>
      </c>
      <c r="K138">
        <v>6.2</v>
      </c>
      <c r="L138">
        <v>83.2</v>
      </c>
      <c r="M138">
        <v>107</v>
      </c>
      <c r="N138">
        <v>95</v>
      </c>
      <c r="O138">
        <v>5</v>
      </c>
      <c r="P138">
        <v>11</v>
      </c>
      <c r="Q138" t="s">
        <v>24</v>
      </c>
      <c r="R138" t="s">
        <v>25</v>
      </c>
    </row>
    <row r="139" spans="1:18" x14ac:dyDescent="0.25">
      <c r="A139">
        <v>1138</v>
      </c>
      <c r="B139" t="s">
        <v>346</v>
      </c>
      <c r="C139" t="s">
        <v>89</v>
      </c>
      <c r="D139" t="s">
        <v>90</v>
      </c>
      <c r="E139" t="s">
        <v>152</v>
      </c>
      <c r="F139" t="s">
        <v>35</v>
      </c>
      <c r="G139">
        <v>5.9</v>
      </c>
      <c r="H139">
        <v>85181</v>
      </c>
      <c r="I139" t="s">
        <v>347</v>
      </c>
      <c r="J139">
        <v>85</v>
      </c>
      <c r="K139">
        <v>21.9</v>
      </c>
      <c r="L139">
        <v>82.1</v>
      </c>
      <c r="M139">
        <v>92</v>
      </c>
      <c r="N139">
        <v>74</v>
      </c>
      <c r="O139">
        <v>4</v>
      </c>
      <c r="P139">
        <v>14</v>
      </c>
      <c r="Q139" t="s">
        <v>24</v>
      </c>
      <c r="R139" t="s">
        <v>25</v>
      </c>
    </row>
    <row r="140" spans="1:18" x14ac:dyDescent="0.25">
      <c r="A140">
        <v>1139</v>
      </c>
      <c r="B140" t="s">
        <v>348</v>
      </c>
      <c r="C140" t="s">
        <v>44</v>
      </c>
      <c r="D140" t="s">
        <v>70</v>
      </c>
      <c r="E140" t="s">
        <v>55</v>
      </c>
      <c r="F140" t="s">
        <v>76</v>
      </c>
      <c r="G140">
        <v>6.4</v>
      </c>
      <c r="H140">
        <v>82424</v>
      </c>
      <c r="I140" t="s">
        <v>349</v>
      </c>
      <c r="J140">
        <v>95.7</v>
      </c>
      <c r="K140">
        <v>3</v>
      </c>
      <c r="L140">
        <v>78.599999999999994</v>
      </c>
      <c r="M140">
        <v>75</v>
      </c>
      <c r="N140">
        <v>66</v>
      </c>
      <c r="O140">
        <v>2</v>
      </c>
      <c r="P140">
        <v>18</v>
      </c>
      <c r="Q140" t="s">
        <v>24</v>
      </c>
      <c r="R140" t="s">
        <v>57</v>
      </c>
    </row>
    <row r="141" spans="1:18" x14ac:dyDescent="0.25">
      <c r="A141">
        <v>1140</v>
      </c>
      <c r="B141" t="s">
        <v>350</v>
      </c>
      <c r="C141" t="s">
        <v>27</v>
      </c>
      <c r="D141" t="s">
        <v>64</v>
      </c>
      <c r="E141" t="s">
        <v>85</v>
      </c>
      <c r="F141" t="s">
        <v>76</v>
      </c>
      <c r="G141">
        <v>5.7</v>
      </c>
      <c r="H141">
        <v>79779</v>
      </c>
      <c r="I141" t="s">
        <v>351</v>
      </c>
      <c r="J141">
        <v>90.1</v>
      </c>
      <c r="K141">
        <v>13.5</v>
      </c>
      <c r="L141">
        <v>85.8</v>
      </c>
      <c r="M141">
        <v>64</v>
      </c>
      <c r="N141">
        <v>50</v>
      </c>
      <c r="O141">
        <v>1</v>
      </c>
      <c r="P141">
        <v>11</v>
      </c>
      <c r="Q141" t="s">
        <v>42</v>
      </c>
      <c r="R141" t="s">
        <v>25</v>
      </c>
    </row>
    <row r="142" spans="1:18" x14ac:dyDescent="0.25">
      <c r="A142">
        <v>1141</v>
      </c>
      <c r="B142" t="s">
        <v>352</v>
      </c>
      <c r="C142" t="s">
        <v>44</v>
      </c>
      <c r="D142" t="s">
        <v>70</v>
      </c>
      <c r="E142" t="s">
        <v>46</v>
      </c>
      <c r="F142" t="s">
        <v>35</v>
      </c>
      <c r="G142">
        <v>5</v>
      </c>
      <c r="H142">
        <v>69742</v>
      </c>
      <c r="I142" t="s">
        <v>353</v>
      </c>
      <c r="J142">
        <v>89.4</v>
      </c>
      <c r="K142">
        <v>11.4</v>
      </c>
      <c r="L142">
        <v>70.400000000000006</v>
      </c>
      <c r="M142">
        <v>93</v>
      </c>
      <c r="N142">
        <v>67</v>
      </c>
      <c r="O142">
        <v>6</v>
      </c>
      <c r="P142">
        <v>19</v>
      </c>
      <c r="Q142" t="s">
        <v>24</v>
      </c>
      <c r="R142" t="s">
        <v>57</v>
      </c>
    </row>
    <row r="143" spans="1:18" x14ac:dyDescent="0.25">
      <c r="A143">
        <v>1142</v>
      </c>
      <c r="B143" t="s">
        <v>354</v>
      </c>
      <c r="C143" t="s">
        <v>32</v>
      </c>
      <c r="D143" t="s">
        <v>106</v>
      </c>
      <c r="E143" t="s">
        <v>34</v>
      </c>
      <c r="F143" t="s">
        <v>76</v>
      </c>
      <c r="G143">
        <v>1.4</v>
      </c>
      <c r="H143">
        <v>54430</v>
      </c>
      <c r="I143" t="s">
        <v>355</v>
      </c>
      <c r="J143">
        <v>92.3</v>
      </c>
      <c r="K143">
        <v>24.6</v>
      </c>
      <c r="L143">
        <v>79.3</v>
      </c>
      <c r="M143">
        <v>101</v>
      </c>
      <c r="N143">
        <v>88</v>
      </c>
      <c r="O143">
        <v>6</v>
      </c>
      <c r="P143">
        <v>12</v>
      </c>
      <c r="Q143" t="s">
        <v>37</v>
      </c>
      <c r="R143" t="s">
        <v>57</v>
      </c>
    </row>
    <row r="144" spans="1:18" x14ac:dyDescent="0.25">
      <c r="A144">
        <v>1143</v>
      </c>
      <c r="B144" t="s">
        <v>356</v>
      </c>
      <c r="C144" t="s">
        <v>19</v>
      </c>
      <c r="D144" t="s">
        <v>137</v>
      </c>
      <c r="E144" t="s">
        <v>21</v>
      </c>
      <c r="F144" t="s">
        <v>86</v>
      </c>
      <c r="G144">
        <v>2.2999999999999998</v>
      </c>
      <c r="H144">
        <v>45227</v>
      </c>
      <c r="I144" t="s">
        <v>357</v>
      </c>
      <c r="J144">
        <v>93.8</v>
      </c>
      <c r="K144">
        <v>23.2</v>
      </c>
      <c r="L144">
        <v>78.5</v>
      </c>
      <c r="M144">
        <v>110</v>
      </c>
      <c r="N144">
        <v>83</v>
      </c>
      <c r="O144">
        <v>2</v>
      </c>
      <c r="P144">
        <v>9</v>
      </c>
      <c r="Q144" t="s">
        <v>24</v>
      </c>
      <c r="R144" t="s">
        <v>57</v>
      </c>
    </row>
    <row r="145" spans="1:18" x14ac:dyDescent="0.25">
      <c r="A145">
        <v>1144</v>
      </c>
      <c r="B145" t="s">
        <v>358</v>
      </c>
      <c r="C145" t="s">
        <v>49</v>
      </c>
      <c r="D145" t="s">
        <v>50</v>
      </c>
      <c r="E145" t="s">
        <v>51</v>
      </c>
      <c r="F145" t="s">
        <v>35</v>
      </c>
      <c r="G145">
        <v>8.3000000000000007</v>
      </c>
      <c r="H145">
        <v>108518</v>
      </c>
      <c r="I145" t="s">
        <v>359</v>
      </c>
      <c r="J145">
        <v>91.8</v>
      </c>
      <c r="K145">
        <v>0</v>
      </c>
      <c r="L145">
        <v>82.6</v>
      </c>
      <c r="M145">
        <v>98</v>
      </c>
      <c r="N145">
        <v>80</v>
      </c>
      <c r="O145">
        <v>3</v>
      </c>
      <c r="P145">
        <v>16</v>
      </c>
      <c r="Q145" t="s">
        <v>42</v>
      </c>
      <c r="R145" t="s">
        <v>25</v>
      </c>
    </row>
    <row r="146" spans="1:18" x14ac:dyDescent="0.25">
      <c r="A146">
        <v>1145</v>
      </c>
      <c r="B146" t="s">
        <v>360</v>
      </c>
      <c r="C146" t="s">
        <v>44</v>
      </c>
      <c r="D146" t="s">
        <v>45</v>
      </c>
      <c r="E146" t="s">
        <v>97</v>
      </c>
      <c r="F146" t="s">
        <v>86</v>
      </c>
      <c r="G146">
        <v>2</v>
      </c>
      <c r="H146">
        <v>48957</v>
      </c>
      <c r="I146" t="s">
        <v>361</v>
      </c>
      <c r="J146">
        <v>92.1</v>
      </c>
      <c r="K146">
        <v>16.399999999999999</v>
      </c>
      <c r="L146">
        <v>76.3</v>
      </c>
      <c r="M146">
        <v>93</v>
      </c>
      <c r="N146">
        <v>69</v>
      </c>
      <c r="O146">
        <v>3</v>
      </c>
      <c r="P146">
        <v>26</v>
      </c>
      <c r="Q146" t="s">
        <v>24</v>
      </c>
      <c r="R146" t="s">
        <v>57</v>
      </c>
    </row>
    <row r="147" spans="1:18" x14ac:dyDescent="0.25">
      <c r="A147">
        <v>1146</v>
      </c>
      <c r="B147" t="s">
        <v>362</v>
      </c>
      <c r="C147" t="s">
        <v>32</v>
      </c>
      <c r="D147" t="s">
        <v>106</v>
      </c>
      <c r="E147" t="s">
        <v>94</v>
      </c>
      <c r="F147" t="s">
        <v>86</v>
      </c>
      <c r="G147">
        <v>5.9</v>
      </c>
      <c r="H147">
        <v>63752</v>
      </c>
      <c r="I147" t="s">
        <v>363</v>
      </c>
      <c r="J147">
        <v>92.5</v>
      </c>
      <c r="K147">
        <v>31</v>
      </c>
      <c r="L147">
        <v>87.5</v>
      </c>
      <c r="M147">
        <v>106</v>
      </c>
      <c r="N147">
        <v>101</v>
      </c>
      <c r="O147">
        <v>1</v>
      </c>
      <c r="P147">
        <v>18</v>
      </c>
      <c r="Q147" t="s">
        <v>37</v>
      </c>
      <c r="R147" t="s">
        <v>25</v>
      </c>
    </row>
    <row r="148" spans="1:18" x14ac:dyDescent="0.25">
      <c r="A148">
        <v>1147</v>
      </c>
      <c r="B148" t="s">
        <v>364</v>
      </c>
      <c r="C148" t="s">
        <v>49</v>
      </c>
      <c r="D148" t="s">
        <v>50</v>
      </c>
      <c r="E148" t="s">
        <v>163</v>
      </c>
      <c r="F148" t="s">
        <v>103</v>
      </c>
      <c r="G148">
        <v>5.6</v>
      </c>
      <c r="H148">
        <v>73861</v>
      </c>
      <c r="I148" t="s">
        <v>365</v>
      </c>
      <c r="J148">
        <v>90.4</v>
      </c>
      <c r="K148">
        <v>3.6</v>
      </c>
      <c r="L148">
        <v>88.9</v>
      </c>
      <c r="M148">
        <v>60</v>
      </c>
      <c r="N148">
        <v>53</v>
      </c>
      <c r="O148">
        <v>2</v>
      </c>
      <c r="P148">
        <v>9</v>
      </c>
      <c r="Q148" t="s">
        <v>24</v>
      </c>
      <c r="R148" t="s">
        <v>25</v>
      </c>
    </row>
    <row r="149" spans="1:18" x14ac:dyDescent="0.25">
      <c r="A149">
        <v>1148</v>
      </c>
      <c r="B149" t="s">
        <v>366</v>
      </c>
      <c r="C149" t="s">
        <v>49</v>
      </c>
      <c r="D149" t="s">
        <v>178</v>
      </c>
      <c r="E149" t="s">
        <v>51</v>
      </c>
      <c r="F149" t="s">
        <v>76</v>
      </c>
      <c r="G149">
        <v>7</v>
      </c>
      <c r="H149">
        <v>81973</v>
      </c>
      <c r="I149" t="s">
        <v>367</v>
      </c>
      <c r="J149">
        <v>91.8</v>
      </c>
      <c r="K149">
        <v>2.5</v>
      </c>
      <c r="L149">
        <v>87.5</v>
      </c>
      <c r="M149">
        <v>56</v>
      </c>
      <c r="N149">
        <v>50</v>
      </c>
      <c r="O149">
        <v>1</v>
      </c>
      <c r="P149">
        <v>12</v>
      </c>
      <c r="Q149" t="s">
        <v>42</v>
      </c>
      <c r="R149" t="s">
        <v>25</v>
      </c>
    </row>
    <row r="150" spans="1:18" x14ac:dyDescent="0.25">
      <c r="A150">
        <v>1149</v>
      </c>
      <c r="B150" t="s">
        <v>368</v>
      </c>
      <c r="C150" t="s">
        <v>32</v>
      </c>
      <c r="D150" t="s">
        <v>106</v>
      </c>
      <c r="E150" t="s">
        <v>94</v>
      </c>
      <c r="F150" t="s">
        <v>40</v>
      </c>
      <c r="G150">
        <v>1.4</v>
      </c>
      <c r="H150">
        <v>51136</v>
      </c>
      <c r="I150" t="s">
        <v>122</v>
      </c>
      <c r="J150">
        <v>97.5</v>
      </c>
      <c r="K150">
        <v>24</v>
      </c>
      <c r="L150">
        <v>85.4</v>
      </c>
      <c r="M150">
        <v>90</v>
      </c>
      <c r="N150">
        <v>73</v>
      </c>
      <c r="O150">
        <v>2</v>
      </c>
      <c r="P150">
        <v>25</v>
      </c>
      <c r="Q150" t="s">
        <v>24</v>
      </c>
      <c r="R150" t="s">
        <v>25</v>
      </c>
    </row>
    <row r="151" spans="1:18" x14ac:dyDescent="0.25">
      <c r="A151">
        <v>1150</v>
      </c>
      <c r="B151" t="s">
        <v>369</v>
      </c>
      <c r="C151" t="s">
        <v>89</v>
      </c>
      <c r="D151" t="s">
        <v>121</v>
      </c>
      <c r="E151" t="s">
        <v>91</v>
      </c>
      <c r="F151" t="s">
        <v>40</v>
      </c>
      <c r="G151">
        <v>2.1</v>
      </c>
      <c r="H151">
        <v>54071</v>
      </c>
      <c r="I151" t="s">
        <v>370</v>
      </c>
      <c r="J151">
        <v>89.4</v>
      </c>
      <c r="K151">
        <v>25.4</v>
      </c>
      <c r="L151">
        <v>95.7</v>
      </c>
      <c r="M151">
        <v>115</v>
      </c>
      <c r="N151">
        <v>115</v>
      </c>
      <c r="O151">
        <v>1</v>
      </c>
      <c r="P151">
        <v>22</v>
      </c>
      <c r="Q151" t="s">
        <v>24</v>
      </c>
      <c r="R151" t="s">
        <v>62</v>
      </c>
    </row>
    <row r="152" spans="1:18" x14ac:dyDescent="0.25">
      <c r="A152">
        <v>1151</v>
      </c>
      <c r="B152" t="s">
        <v>371</v>
      </c>
      <c r="C152" t="s">
        <v>19</v>
      </c>
      <c r="D152" t="s">
        <v>20</v>
      </c>
      <c r="E152" t="s">
        <v>39</v>
      </c>
      <c r="F152" t="s">
        <v>76</v>
      </c>
      <c r="G152">
        <v>5.9</v>
      </c>
      <c r="H152">
        <v>76963</v>
      </c>
      <c r="I152" t="s">
        <v>372</v>
      </c>
      <c r="J152">
        <v>97.1</v>
      </c>
      <c r="K152">
        <v>10</v>
      </c>
      <c r="L152">
        <v>92.1</v>
      </c>
      <c r="M152">
        <v>88</v>
      </c>
      <c r="N152">
        <v>78</v>
      </c>
      <c r="O152">
        <v>2</v>
      </c>
      <c r="P152">
        <v>18</v>
      </c>
      <c r="Q152" t="s">
        <v>24</v>
      </c>
      <c r="R152" t="s">
        <v>62</v>
      </c>
    </row>
    <row r="153" spans="1:18" x14ac:dyDescent="0.25">
      <c r="A153">
        <v>1152</v>
      </c>
      <c r="B153" t="s">
        <v>373</v>
      </c>
      <c r="C153" t="s">
        <v>27</v>
      </c>
      <c r="D153" t="s">
        <v>64</v>
      </c>
      <c r="E153" t="s">
        <v>85</v>
      </c>
      <c r="F153" t="s">
        <v>76</v>
      </c>
      <c r="G153">
        <v>1.1000000000000001</v>
      </c>
      <c r="H153">
        <v>34894</v>
      </c>
      <c r="I153" t="s">
        <v>374</v>
      </c>
      <c r="J153">
        <v>92.6</v>
      </c>
      <c r="K153">
        <v>11.7</v>
      </c>
      <c r="L153">
        <v>85.7</v>
      </c>
      <c r="M153">
        <v>63</v>
      </c>
      <c r="N153">
        <v>46</v>
      </c>
      <c r="O153">
        <v>3</v>
      </c>
      <c r="P153">
        <v>8</v>
      </c>
      <c r="Q153" t="s">
        <v>42</v>
      </c>
      <c r="R153" t="s">
        <v>25</v>
      </c>
    </row>
    <row r="154" spans="1:18" x14ac:dyDescent="0.25">
      <c r="A154">
        <v>1153</v>
      </c>
      <c r="B154" t="s">
        <v>375</v>
      </c>
      <c r="C154" t="s">
        <v>49</v>
      </c>
      <c r="D154" t="s">
        <v>178</v>
      </c>
      <c r="E154" t="s">
        <v>51</v>
      </c>
      <c r="F154" t="s">
        <v>35</v>
      </c>
      <c r="G154">
        <v>7</v>
      </c>
      <c r="H154">
        <v>78837</v>
      </c>
      <c r="I154" t="s">
        <v>376</v>
      </c>
      <c r="J154">
        <v>88.5</v>
      </c>
      <c r="K154">
        <v>5.5</v>
      </c>
      <c r="L154">
        <v>70.7</v>
      </c>
      <c r="M154">
        <v>44</v>
      </c>
      <c r="N154">
        <v>28</v>
      </c>
      <c r="O154">
        <v>2</v>
      </c>
      <c r="P154">
        <v>18</v>
      </c>
      <c r="Q154" t="s">
        <v>24</v>
      </c>
      <c r="R154" t="s">
        <v>57</v>
      </c>
    </row>
    <row r="155" spans="1:18" x14ac:dyDescent="0.25">
      <c r="A155">
        <v>1154</v>
      </c>
      <c r="B155" t="s">
        <v>377</v>
      </c>
      <c r="C155" t="s">
        <v>19</v>
      </c>
      <c r="D155" t="s">
        <v>81</v>
      </c>
      <c r="E155" t="s">
        <v>39</v>
      </c>
      <c r="F155" t="s">
        <v>35</v>
      </c>
      <c r="G155">
        <v>0.9</v>
      </c>
      <c r="H155">
        <v>39519</v>
      </c>
      <c r="I155" t="s">
        <v>378</v>
      </c>
      <c r="J155">
        <v>95.1</v>
      </c>
      <c r="K155">
        <v>14.9</v>
      </c>
      <c r="L155">
        <v>78.099999999999994</v>
      </c>
      <c r="M155">
        <v>92</v>
      </c>
      <c r="N155">
        <v>73</v>
      </c>
      <c r="O155">
        <v>2</v>
      </c>
      <c r="P155">
        <v>7</v>
      </c>
      <c r="Q155" t="s">
        <v>24</v>
      </c>
      <c r="R155" t="s">
        <v>57</v>
      </c>
    </row>
    <row r="156" spans="1:18" x14ac:dyDescent="0.25">
      <c r="A156">
        <v>1155</v>
      </c>
      <c r="B156" t="s">
        <v>379</v>
      </c>
      <c r="C156" t="s">
        <v>32</v>
      </c>
      <c r="D156" t="s">
        <v>67</v>
      </c>
      <c r="E156" t="s">
        <v>128</v>
      </c>
      <c r="F156" t="s">
        <v>35</v>
      </c>
      <c r="G156">
        <v>1.8</v>
      </c>
      <c r="H156">
        <v>43935</v>
      </c>
      <c r="I156" t="s">
        <v>380</v>
      </c>
      <c r="J156">
        <v>94.1</v>
      </c>
      <c r="K156">
        <v>19</v>
      </c>
      <c r="L156">
        <v>83.8</v>
      </c>
      <c r="M156">
        <v>98</v>
      </c>
      <c r="N156">
        <v>81</v>
      </c>
      <c r="O156">
        <v>2</v>
      </c>
      <c r="P156">
        <v>20</v>
      </c>
      <c r="Q156" t="s">
        <v>24</v>
      </c>
      <c r="R156" t="s">
        <v>25</v>
      </c>
    </row>
    <row r="157" spans="1:18" x14ac:dyDescent="0.25">
      <c r="A157">
        <v>1156</v>
      </c>
      <c r="B157" t="s">
        <v>381</v>
      </c>
      <c r="C157" t="s">
        <v>89</v>
      </c>
      <c r="D157" t="s">
        <v>121</v>
      </c>
      <c r="E157" t="s">
        <v>91</v>
      </c>
      <c r="F157" t="s">
        <v>35</v>
      </c>
      <c r="G157">
        <v>5.8</v>
      </c>
      <c r="H157">
        <v>68758</v>
      </c>
      <c r="I157" t="s">
        <v>382</v>
      </c>
      <c r="J157">
        <v>87.7</v>
      </c>
      <c r="K157">
        <v>22.1</v>
      </c>
      <c r="L157">
        <v>90.4</v>
      </c>
      <c r="M157">
        <v>84</v>
      </c>
      <c r="N157">
        <v>74</v>
      </c>
      <c r="O157">
        <v>1</v>
      </c>
      <c r="P157">
        <v>22</v>
      </c>
      <c r="Q157" t="s">
        <v>24</v>
      </c>
      <c r="R157" t="s">
        <v>62</v>
      </c>
    </row>
    <row r="158" spans="1:18" x14ac:dyDescent="0.25">
      <c r="A158">
        <v>1157</v>
      </c>
      <c r="B158" t="s">
        <v>383</v>
      </c>
      <c r="C158" t="s">
        <v>89</v>
      </c>
      <c r="D158" t="s">
        <v>102</v>
      </c>
      <c r="E158" t="s">
        <v>91</v>
      </c>
      <c r="F158" t="s">
        <v>76</v>
      </c>
      <c r="G158">
        <v>5</v>
      </c>
      <c r="H158">
        <v>76297</v>
      </c>
      <c r="I158" t="s">
        <v>161</v>
      </c>
      <c r="J158">
        <v>93</v>
      </c>
      <c r="K158">
        <v>25.5</v>
      </c>
      <c r="L158">
        <v>88.5</v>
      </c>
      <c r="M158">
        <v>94</v>
      </c>
      <c r="N158">
        <v>83</v>
      </c>
      <c r="O158">
        <v>4</v>
      </c>
      <c r="P158">
        <v>20</v>
      </c>
      <c r="Q158" t="s">
        <v>42</v>
      </c>
      <c r="R158" t="s">
        <v>25</v>
      </c>
    </row>
    <row r="159" spans="1:18" x14ac:dyDescent="0.25">
      <c r="A159">
        <v>1158</v>
      </c>
      <c r="B159" t="s">
        <v>384</v>
      </c>
      <c r="C159" t="s">
        <v>44</v>
      </c>
      <c r="D159" t="s">
        <v>70</v>
      </c>
      <c r="E159" t="s">
        <v>46</v>
      </c>
      <c r="F159" t="s">
        <v>86</v>
      </c>
      <c r="G159">
        <v>0.7</v>
      </c>
      <c r="H159">
        <v>28000</v>
      </c>
      <c r="I159" t="s">
        <v>385</v>
      </c>
      <c r="J159">
        <v>94.1</v>
      </c>
      <c r="K159">
        <v>7.8</v>
      </c>
      <c r="L159">
        <v>78</v>
      </c>
      <c r="M159">
        <v>74</v>
      </c>
      <c r="N159">
        <v>60</v>
      </c>
      <c r="O159">
        <v>4</v>
      </c>
      <c r="P159">
        <v>18</v>
      </c>
      <c r="Q159" t="s">
        <v>24</v>
      </c>
      <c r="R159" t="s">
        <v>57</v>
      </c>
    </row>
    <row r="160" spans="1:18" x14ac:dyDescent="0.25">
      <c r="A160">
        <v>1159</v>
      </c>
      <c r="B160" t="s">
        <v>386</v>
      </c>
      <c r="C160" t="s">
        <v>19</v>
      </c>
      <c r="D160" t="s">
        <v>81</v>
      </c>
      <c r="E160" t="s">
        <v>82</v>
      </c>
      <c r="F160" t="s">
        <v>76</v>
      </c>
      <c r="G160">
        <v>5.7</v>
      </c>
      <c r="H160">
        <v>74341</v>
      </c>
      <c r="I160" t="s">
        <v>387</v>
      </c>
      <c r="J160">
        <v>97.4</v>
      </c>
      <c r="K160">
        <v>31.1</v>
      </c>
      <c r="L160">
        <v>83.9</v>
      </c>
      <c r="M160">
        <v>101</v>
      </c>
      <c r="N160">
        <v>79</v>
      </c>
      <c r="O160">
        <v>1</v>
      </c>
      <c r="P160">
        <v>17</v>
      </c>
      <c r="Q160" t="s">
        <v>37</v>
      </c>
      <c r="R160" t="s">
        <v>25</v>
      </c>
    </row>
    <row r="161" spans="1:18" x14ac:dyDescent="0.25">
      <c r="A161">
        <v>1160</v>
      </c>
      <c r="B161" t="s">
        <v>388</v>
      </c>
      <c r="C161" t="s">
        <v>89</v>
      </c>
      <c r="D161" t="s">
        <v>102</v>
      </c>
      <c r="E161" t="s">
        <v>152</v>
      </c>
      <c r="F161" t="s">
        <v>40</v>
      </c>
      <c r="G161">
        <v>6.2</v>
      </c>
      <c r="H161">
        <v>66303</v>
      </c>
      <c r="I161" t="s">
        <v>389</v>
      </c>
      <c r="J161">
        <v>97.3</v>
      </c>
      <c r="K161">
        <v>14.1</v>
      </c>
      <c r="L161">
        <v>86.9</v>
      </c>
      <c r="M161">
        <v>46</v>
      </c>
      <c r="N161">
        <v>36</v>
      </c>
      <c r="O161">
        <v>0</v>
      </c>
      <c r="P161">
        <v>19</v>
      </c>
      <c r="Q161" t="s">
        <v>42</v>
      </c>
      <c r="R161" t="s">
        <v>25</v>
      </c>
    </row>
    <row r="162" spans="1:18" x14ac:dyDescent="0.25">
      <c r="A162">
        <v>1161</v>
      </c>
      <c r="B162" t="s">
        <v>390</v>
      </c>
      <c r="C162" t="s">
        <v>89</v>
      </c>
      <c r="D162" t="s">
        <v>102</v>
      </c>
      <c r="E162" t="s">
        <v>152</v>
      </c>
      <c r="F162" t="s">
        <v>86</v>
      </c>
      <c r="G162">
        <v>4.8</v>
      </c>
      <c r="H162">
        <v>72392</v>
      </c>
      <c r="I162" t="s">
        <v>391</v>
      </c>
      <c r="J162">
        <v>93</v>
      </c>
      <c r="K162">
        <v>14.9</v>
      </c>
      <c r="L162">
        <v>82.5</v>
      </c>
      <c r="M162">
        <v>35</v>
      </c>
      <c r="N162">
        <v>25</v>
      </c>
      <c r="O162">
        <v>2</v>
      </c>
      <c r="P162">
        <v>11</v>
      </c>
      <c r="Q162" t="s">
        <v>42</v>
      </c>
      <c r="R162" t="s">
        <v>25</v>
      </c>
    </row>
    <row r="163" spans="1:18" x14ac:dyDescent="0.25">
      <c r="A163">
        <v>1162</v>
      </c>
      <c r="B163" t="s">
        <v>392</v>
      </c>
      <c r="C163" t="s">
        <v>44</v>
      </c>
      <c r="D163" t="s">
        <v>54</v>
      </c>
      <c r="E163" t="s">
        <v>97</v>
      </c>
      <c r="F163" t="s">
        <v>40</v>
      </c>
      <c r="G163">
        <v>3.1</v>
      </c>
      <c r="H163">
        <v>47182</v>
      </c>
      <c r="I163" t="s">
        <v>393</v>
      </c>
      <c r="J163">
        <v>93.8</v>
      </c>
      <c r="K163">
        <v>32</v>
      </c>
      <c r="L163">
        <v>81.400000000000006</v>
      </c>
      <c r="M163">
        <v>122</v>
      </c>
      <c r="N163">
        <v>87</v>
      </c>
      <c r="O163">
        <v>1</v>
      </c>
      <c r="P163">
        <v>27</v>
      </c>
      <c r="Q163" t="s">
        <v>37</v>
      </c>
      <c r="R163" t="s">
        <v>25</v>
      </c>
    </row>
    <row r="164" spans="1:18" x14ac:dyDescent="0.25">
      <c r="A164">
        <v>1163</v>
      </c>
      <c r="B164" t="s">
        <v>394</v>
      </c>
      <c r="C164" t="s">
        <v>32</v>
      </c>
      <c r="D164" t="s">
        <v>33</v>
      </c>
      <c r="E164" t="s">
        <v>128</v>
      </c>
      <c r="F164" t="s">
        <v>76</v>
      </c>
      <c r="G164">
        <v>7.1</v>
      </c>
      <c r="H164">
        <v>85758</v>
      </c>
      <c r="I164" t="s">
        <v>159</v>
      </c>
      <c r="J164">
        <v>89.1</v>
      </c>
      <c r="K164">
        <v>27.5</v>
      </c>
      <c r="L164">
        <v>81.599999999999994</v>
      </c>
      <c r="M164">
        <v>125</v>
      </c>
      <c r="N164">
        <v>103</v>
      </c>
      <c r="O164">
        <v>6</v>
      </c>
      <c r="P164">
        <v>13</v>
      </c>
      <c r="Q164" t="s">
        <v>24</v>
      </c>
      <c r="R164" t="s">
        <v>25</v>
      </c>
    </row>
    <row r="165" spans="1:18" x14ac:dyDescent="0.25">
      <c r="A165">
        <v>1164</v>
      </c>
      <c r="B165" t="s">
        <v>395</v>
      </c>
      <c r="C165" t="s">
        <v>19</v>
      </c>
      <c r="D165" t="s">
        <v>20</v>
      </c>
      <c r="E165" t="s">
        <v>21</v>
      </c>
      <c r="F165" t="s">
        <v>86</v>
      </c>
      <c r="G165">
        <v>4.2</v>
      </c>
      <c r="H165">
        <v>64998</v>
      </c>
      <c r="I165" t="s">
        <v>396</v>
      </c>
      <c r="J165">
        <v>85.7</v>
      </c>
      <c r="K165">
        <v>21.7</v>
      </c>
      <c r="L165">
        <v>81.099999999999994</v>
      </c>
      <c r="M165">
        <v>109</v>
      </c>
      <c r="N165">
        <v>88</v>
      </c>
      <c r="O165">
        <v>4</v>
      </c>
      <c r="P165">
        <v>9</v>
      </c>
      <c r="Q165" t="s">
        <v>37</v>
      </c>
      <c r="R165" t="s">
        <v>25</v>
      </c>
    </row>
    <row r="166" spans="1:18" x14ac:dyDescent="0.25">
      <c r="A166">
        <v>1165</v>
      </c>
      <c r="B166" t="s">
        <v>397</v>
      </c>
      <c r="C166" t="s">
        <v>27</v>
      </c>
      <c r="D166" t="s">
        <v>75</v>
      </c>
      <c r="E166" t="s">
        <v>29</v>
      </c>
      <c r="F166" t="s">
        <v>35</v>
      </c>
      <c r="G166">
        <v>3.3</v>
      </c>
      <c r="H166">
        <v>57107</v>
      </c>
      <c r="I166" t="s">
        <v>398</v>
      </c>
      <c r="J166">
        <v>92.8</v>
      </c>
      <c r="K166">
        <v>9.8000000000000007</v>
      </c>
      <c r="L166">
        <v>88.7</v>
      </c>
      <c r="M166">
        <v>72</v>
      </c>
      <c r="N166">
        <v>64</v>
      </c>
      <c r="O166">
        <v>0</v>
      </c>
      <c r="P166">
        <v>8</v>
      </c>
      <c r="Q166" t="s">
        <v>42</v>
      </c>
      <c r="R166" t="s">
        <v>25</v>
      </c>
    </row>
    <row r="167" spans="1:18" x14ac:dyDescent="0.25">
      <c r="A167">
        <v>1166</v>
      </c>
      <c r="B167" t="s">
        <v>399</v>
      </c>
      <c r="C167" t="s">
        <v>19</v>
      </c>
      <c r="D167" t="s">
        <v>20</v>
      </c>
      <c r="E167" t="s">
        <v>82</v>
      </c>
      <c r="F167" t="s">
        <v>76</v>
      </c>
      <c r="G167">
        <v>5.4</v>
      </c>
      <c r="H167">
        <v>65050</v>
      </c>
      <c r="I167" t="s">
        <v>400</v>
      </c>
      <c r="J167">
        <v>84.9</v>
      </c>
      <c r="K167">
        <v>33.1</v>
      </c>
      <c r="L167">
        <v>86.7</v>
      </c>
      <c r="M167">
        <v>122</v>
      </c>
      <c r="N167">
        <v>92</v>
      </c>
      <c r="O167">
        <v>2</v>
      </c>
      <c r="P167">
        <v>22</v>
      </c>
      <c r="Q167" t="s">
        <v>37</v>
      </c>
      <c r="R167" t="s">
        <v>25</v>
      </c>
    </row>
    <row r="168" spans="1:18" x14ac:dyDescent="0.25">
      <c r="A168">
        <v>1167</v>
      </c>
      <c r="B168" t="s">
        <v>401</v>
      </c>
      <c r="C168" t="s">
        <v>32</v>
      </c>
      <c r="D168" t="s">
        <v>33</v>
      </c>
      <c r="E168" t="s">
        <v>94</v>
      </c>
      <c r="F168" t="s">
        <v>35</v>
      </c>
      <c r="G168">
        <v>6.4</v>
      </c>
      <c r="H168">
        <v>72146</v>
      </c>
      <c r="I168" t="s">
        <v>223</v>
      </c>
      <c r="J168">
        <v>84.5</v>
      </c>
      <c r="K168">
        <v>20.9</v>
      </c>
      <c r="L168">
        <v>81.8</v>
      </c>
      <c r="M168">
        <v>102</v>
      </c>
      <c r="N168">
        <v>88</v>
      </c>
      <c r="O168">
        <v>5</v>
      </c>
      <c r="P168">
        <v>10</v>
      </c>
      <c r="Q168" t="s">
        <v>24</v>
      </c>
      <c r="R168" t="s">
        <v>25</v>
      </c>
    </row>
    <row r="169" spans="1:18" x14ac:dyDescent="0.25">
      <c r="A169">
        <v>1168</v>
      </c>
      <c r="B169" t="s">
        <v>402</v>
      </c>
      <c r="C169" t="s">
        <v>27</v>
      </c>
      <c r="D169" t="s">
        <v>64</v>
      </c>
      <c r="E169" t="s">
        <v>29</v>
      </c>
      <c r="F169" t="s">
        <v>103</v>
      </c>
      <c r="G169">
        <v>5.2</v>
      </c>
      <c r="H169">
        <v>72937</v>
      </c>
      <c r="I169" t="s">
        <v>403</v>
      </c>
      <c r="J169">
        <v>91.5</v>
      </c>
      <c r="K169">
        <v>14.5</v>
      </c>
      <c r="L169">
        <v>93.3</v>
      </c>
      <c r="M169">
        <v>82</v>
      </c>
      <c r="N169">
        <v>63</v>
      </c>
      <c r="O169">
        <v>0</v>
      </c>
      <c r="P169">
        <v>11</v>
      </c>
      <c r="Q169" t="s">
        <v>42</v>
      </c>
      <c r="R169" t="s">
        <v>62</v>
      </c>
    </row>
    <row r="170" spans="1:18" x14ac:dyDescent="0.25">
      <c r="A170">
        <v>1169</v>
      </c>
      <c r="B170" t="s">
        <v>404</v>
      </c>
      <c r="C170" t="s">
        <v>89</v>
      </c>
      <c r="D170" t="s">
        <v>102</v>
      </c>
      <c r="E170" t="s">
        <v>111</v>
      </c>
      <c r="F170" t="s">
        <v>35</v>
      </c>
      <c r="G170">
        <v>3.6</v>
      </c>
      <c r="H170">
        <v>65673</v>
      </c>
      <c r="I170" t="s">
        <v>405</v>
      </c>
      <c r="J170">
        <v>96.3</v>
      </c>
      <c r="K170">
        <v>15.9</v>
      </c>
      <c r="L170">
        <v>88.8</v>
      </c>
      <c r="M170">
        <v>36</v>
      </c>
      <c r="N170">
        <v>33</v>
      </c>
      <c r="O170">
        <v>2</v>
      </c>
      <c r="P170">
        <v>24</v>
      </c>
      <c r="Q170" t="s">
        <v>42</v>
      </c>
      <c r="R170" t="s">
        <v>25</v>
      </c>
    </row>
    <row r="171" spans="1:18" x14ac:dyDescent="0.25">
      <c r="A171">
        <v>1170</v>
      </c>
      <c r="B171" t="s">
        <v>406</v>
      </c>
      <c r="C171" t="s">
        <v>32</v>
      </c>
      <c r="D171" t="s">
        <v>67</v>
      </c>
      <c r="E171" t="s">
        <v>94</v>
      </c>
      <c r="F171" t="s">
        <v>86</v>
      </c>
      <c r="G171">
        <v>6.7</v>
      </c>
      <c r="H171">
        <v>72563</v>
      </c>
      <c r="I171" t="s">
        <v>407</v>
      </c>
      <c r="J171">
        <v>89.4</v>
      </c>
      <c r="K171">
        <v>19.899999999999999</v>
      </c>
      <c r="L171">
        <v>82.3</v>
      </c>
      <c r="M171">
        <v>124</v>
      </c>
      <c r="N171">
        <v>112</v>
      </c>
      <c r="O171">
        <v>0</v>
      </c>
      <c r="P171">
        <v>9</v>
      </c>
      <c r="Q171" t="s">
        <v>24</v>
      </c>
      <c r="R171" t="s">
        <v>25</v>
      </c>
    </row>
    <row r="172" spans="1:18" x14ac:dyDescent="0.25">
      <c r="A172">
        <v>1171</v>
      </c>
      <c r="B172" t="s">
        <v>408</v>
      </c>
      <c r="C172" t="s">
        <v>32</v>
      </c>
      <c r="D172" t="s">
        <v>33</v>
      </c>
      <c r="E172" t="s">
        <v>94</v>
      </c>
      <c r="F172" t="s">
        <v>86</v>
      </c>
      <c r="G172">
        <v>1.2</v>
      </c>
      <c r="H172">
        <v>35340</v>
      </c>
      <c r="I172" t="s">
        <v>409</v>
      </c>
      <c r="J172">
        <v>100</v>
      </c>
      <c r="K172">
        <v>21.9</v>
      </c>
      <c r="L172">
        <v>90.6</v>
      </c>
      <c r="M172">
        <v>99</v>
      </c>
      <c r="N172">
        <v>92</v>
      </c>
      <c r="O172">
        <v>0</v>
      </c>
      <c r="P172">
        <v>18</v>
      </c>
      <c r="Q172" t="s">
        <v>24</v>
      </c>
      <c r="R172" t="s">
        <v>62</v>
      </c>
    </row>
    <row r="173" spans="1:18" x14ac:dyDescent="0.25">
      <c r="A173">
        <v>1172</v>
      </c>
      <c r="B173" t="s">
        <v>410</v>
      </c>
      <c r="C173" t="s">
        <v>49</v>
      </c>
      <c r="D173" t="s">
        <v>178</v>
      </c>
      <c r="E173" t="s">
        <v>51</v>
      </c>
      <c r="F173" t="s">
        <v>40</v>
      </c>
      <c r="G173">
        <v>4.5999999999999996</v>
      </c>
      <c r="H173">
        <v>75468</v>
      </c>
      <c r="I173" t="s">
        <v>411</v>
      </c>
      <c r="J173">
        <v>90.4</v>
      </c>
      <c r="K173">
        <v>7.4</v>
      </c>
      <c r="L173">
        <v>85.6</v>
      </c>
      <c r="M173">
        <v>36</v>
      </c>
      <c r="N173">
        <v>32</v>
      </c>
      <c r="O173">
        <v>3</v>
      </c>
      <c r="P173">
        <v>6</v>
      </c>
      <c r="Q173" t="s">
        <v>24</v>
      </c>
      <c r="R173" t="s">
        <v>25</v>
      </c>
    </row>
    <row r="174" spans="1:18" x14ac:dyDescent="0.25">
      <c r="A174">
        <v>1173</v>
      </c>
      <c r="B174" t="s">
        <v>412</v>
      </c>
      <c r="C174" t="s">
        <v>89</v>
      </c>
      <c r="D174" t="s">
        <v>102</v>
      </c>
      <c r="E174" t="s">
        <v>91</v>
      </c>
      <c r="F174" t="s">
        <v>103</v>
      </c>
      <c r="G174">
        <v>5.6</v>
      </c>
      <c r="H174">
        <v>77256</v>
      </c>
      <c r="I174" t="s">
        <v>413</v>
      </c>
      <c r="J174">
        <v>94.2</v>
      </c>
      <c r="K174">
        <v>33.200000000000003</v>
      </c>
      <c r="L174">
        <v>92.1</v>
      </c>
      <c r="M174">
        <v>100</v>
      </c>
      <c r="N174">
        <v>95</v>
      </c>
      <c r="O174">
        <v>3</v>
      </c>
      <c r="P174">
        <v>12</v>
      </c>
      <c r="Q174" t="s">
        <v>24</v>
      </c>
      <c r="R174" t="s">
        <v>62</v>
      </c>
    </row>
    <row r="175" spans="1:18" x14ac:dyDescent="0.25">
      <c r="A175">
        <v>1174</v>
      </c>
      <c r="B175" t="s">
        <v>414</v>
      </c>
      <c r="C175" t="s">
        <v>44</v>
      </c>
      <c r="D175" t="s">
        <v>45</v>
      </c>
      <c r="E175" t="s">
        <v>46</v>
      </c>
      <c r="F175" t="s">
        <v>35</v>
      </c>
      <c r="G175">
        <v>2.9</v>
      </c>
      <c r="H175">
        <v>62339</v>
      </c>
      <c r="I175" t="s">
        <v>415</v>
      </c>
      <c r="J175">
        <v>89.6</v>
      </c>
      <c r="K175">
        <v>25.2</v>
      </c>
      <c r="L175">
        <v>74</v>
      </c>
      <c r="M175">
        <v>112</v>
      </c>
      <c r="N175">
        <v>76</v>
      </c>
      <c r="O175">
        <v>2</v>
      </c>
      <c r="P175">
        <v>19</v>
      </c>
      <c r="Q175" t="s">
        <v>37</v>
      </c>
      <c r="R175" t="s">
        <v>57</v>
      </c>
    </row>
    <row r="176" spans="1:18" x14ac:dyDescent="0.25">
      <c r="A176">
        <v>1175</v>
      </c>
      <c r="B176" t="s">
        <v>416</v>
      </c>
      <c r="C176" t="s">
        <v>49</v>
      </c>
      <c r="D176" t="s">
        <v>50</v>
      </c>
      <c r="E176" t="s">
        <v>163</v>
      </c>
      <c r="F176" t="s">
        <v>22</v>
      </c>
      <c r="G176">
        <v>7.8</v>
      </c>
      <c r="H176">
        <v>91822</v>
      </c>
      <c r="I176" t="s">
        <v>417</v>
      </c>
      <c r="J176">
        <v>93.2</v>
      </c>
      <c r="K176">
        <v>26.9</v>
      </c>
      <c r="L176">
        <v>84.6</v>
      </c>
      <c r="M176">
        <v>64</v>
      </c>
      <c r="N176">
        <v>52</v>
      </c>
      <c r="O176">
        <v>1</v>
      </c>
      <c r="P176">
        <v>7</v>
      </c>
      <c r="Q176" t="s">
        <v>24</v>
      </c>
      <c r="R176" t="s">
        <v>25</v>
      </c>
    </row>
    <row r="177" spans="1:18" x14ac:dyDescent="0.25">
      <c r="A177">
        <v>1176</v>
      </c>
      <c r="B177" t="s">
        <v>418</v>
      </c>
      <c r="C177" t="s">
        <v>49</v>
      </c>
      <c r="D177" t="s">
        <v>59</v>
      </c>
      <c r="E177" t="s">
        <v>60</v>
      </c>
      <c r="F177" t="s">
        <v>40</v>
      </c>
      <c r="G177">
        <v>8.1999999999999993</v>
      </c>
      <c r="H177">
        <v>84225</v>
      </c>
      <c r="I177" t="s">
        <v>419</v>
      </c>
      <c r="J177">
        <v>81.7</v>
      </c>
      <c r="K177">
        <v>18.8</v>
      </c>
      <c r="L177">
        <v>88.4</v>
      </c>
      <c r="M177">
        <v>98</v>
      </c>
      <c r="N177">
        <v>85</v>
      </c>
      <c r="O177">
        <v>2</v>
      </c>
      <c r="P177">
        <v>12</v>
      </c>
      <c r="Q177" t="s">
        <v>42</v>
      </c>
      <c r="R177" t="s">
        <v>25</v>
      </c>
    </row>
    <row r="178" spans="1:18" x14ac:dyDescent="0.25">
      <c r="A178">
        <v>1177</v>
      </c>
      <c r="B178" t="s">
        <v>420</v>
      </c>
      <c r="C178" t="s">
        <v>89</v>
      </c>
      <c r="D178" t="s">
        <v>102</v>
      </c>
      <c r="E178" t="s">
        <v>111</v>
      </c>
      <c r="F178" t="s">
        <v>86</v>
      </c>
      <c r="G178">
        <v>0.4</v>
      </c>
      <c r="H178">
        <v>37570</v>
      </c>
      <c r="I178" t="s">
        <v>421</v>
      </c>
      <c r="J178">
        <v>90.9</v>
      </c>
      <c r="K178">
        <v>5.2</v>
      </c>
      <c r="L178">
        <v>90.9</v>
      </c>
      <c r="M178">
        <v>62</v>
      </c>
      <c r="N178">
        <v>52</v>
      </c>
      <c r="O178">
        <v>4</v>
      </c>
      <c r="P178">
        <v>6</v>
      </c>
      <c r="Q178" t="s">
        <v>24</v>
      </c>
      <c r="R178" t="s">
        <v>62</v>
      </c>
    </row>
    <row r="179" spans="1:18" x14ac:dyDescent="0.25">
      <c r="A179">
        <v>1178</v>
      </c>
      <c r="B179" t="s">
        <v>422</v>
      </c>
      <c r="C179" t="s">
        <v>19</v>
      </c>
      <c r="D179" t="s">
        <v>20</v>
      </c>
      <c r="E179" t="s">
        <v>82</v>
      </c>
      <c r="F179" t="s">
        <v>76</v>
      </c>
      <c r="G179">
        <v>6.9</v>
      </c>
      <c r="H179">
        <v>92392</v>
      </c>
      <c r="I179" t="s">
        <v>423</v>
      </c>
      <c r="J179">
        <v>88.6</v>
      </c>
      <c r="K179">
        <v>24.6</v>
      </c>
      <c r="L179">
        <v>78.3</v>
      </c>
      <c r="M179">
        <v>87</v>
      </c>
      <c r="N179">
        <v>62</v>
      </c>
      <c r="O179">
        <v>3</v>
      </c>
      <c r="P179">
        <v>17</v>
      </c>
      <c r="Q179" t="s">
        <v>37</v>
      </c>
      <c r="R179" t="s">
        <v>57</v>
      </c>
    </row>
    <row r="180" spans="1:18" x14ac:dyDescent="0.25">
      <c r="A180">
        <v>1179</v>
      </c>
      <c r="B180" t="s">
        <v>424</v>
      </c>
      <c r="C180" t="s">
        <v>27</v>
      </c>
      <c r="D180" t="s">
        <v>64</v>
      </c>
      <c r="E180" t="s">
        <v>85</v>
      </c>
      <c r="F180" t="s">
        <v>35</v>
      </c>
      <c r="G180">
        <v>5.8</v>
      </c>
      <c r="H180">
        <v>93963</v>
      </c>
      <c r="I180" t="s">
        <v>219</v>
      </c>
      <c r="J180">
        <v>92.1</v>
      </c>
      <c r="K180">
        <v>15.3</v>
      </c>
      <c r="L180">
        <v>81.099999999999994</v>
      </c>
      <c r="M180">
        <v>74</v>
      </c>
      <c r="N180">
        <v>59</v>
      </c>
      <c r="O180">
        <v>0</v>
      </c>
      <c r="P180">
        <v>2</v>
      </c>
      <c r="Q180" t="s">
        <v>24</v>
      </c>
      <c r="R180" t="s">
        <v>25</v>
      </c>
    </row>
    <row r="181" spans="1:18" x14ac:dyDescent="0.25">
      <c r="A181">
        <v>1180</v>
      </c>
      <c r="B181" t="s">
        <v>425</v>
      </c>
      <c r="C181" t="s">
        <v>49</v>
      </c>
      <c r="D181" t="s">
        <v>178</v>
      </c>
      <c r="E181" t="s">
        <v>60</v>
      </c>
      <c r="F181" t="s">
        <v>35</v>
      </c>
      <c r="G181">
        <v>4.5</v>
      </c>
      <c r="H181">
        <v>67383</v>
      </c>
      <c r="I181" t="s">
        <v>426</v>
      </c>
      <c r="J181">
        <v>87.5</v>
      </c>
      <c r="K181">
        <v>10.9</v>
      </c>
      <c r="L181">
        <v>83.8</v>
      </c>
      <c r="M181">
        <v>80</v>
      </c>
      <c r="N181">
        <v>69</v>
      </c>
      <c r="O181">
        <v>0</v>
      </c>
      <c r="P181">
        <v>13</v>
      </c>
      <c r="Q181" t="s">
        <v>24</v>
      </c>
      <c r="R181" t="s">
        <v>25</v>
      </c>
    </row>
    <row r="182" spans="1:18" x14ac:dyDescent="0.25">
      <c r="A182">
        <v>1181</v>
      </c>
      <c r="B182" t="s">
        <v>427</v>
      </c>
      <c r="C182" t="s">
        <v>27</v>
      </c>
      <c r="D182" t="s">
        <v>28</v>
      </c>
      <c r="E182" t="s">
        <v>118</v>
      </c>
      <c r="F182" t="s">
        <v>86</v>
      </c>
      <c r="G182">
        <v>4.2</v>
      </c>
      <c r="H182">
        <v>68626</v>
      </c>
      <c r="I182" t="s">
        <v>428</v>
      </c>
      <c r="J182">
        <v>92.5</v>
      </c>
      <c r="K182">
        <v>13.3</v>
      </c>
      <c r="L182">
        <v>82.8</v>
      </c>
      <c r="M182">
        <v>64</v>
      </c>
      <c r="N182">
        <v>53</v>
      </c>
      <c r="O182">
        <v>2</v>
      </c>
      <c r="P182">
        <v>11</v>
      </c>
      <c r="Q182" t="s">
        <v>24</v>
      </c>
      <c r="R182" t="s">
        <v>25</v>
      </c>
    </row>
    <row r="183" spans="1:18" x14ac:dyDescent="0.25">
      <c r="A183">
        <v>1182</v>
      </c>
      <c r="B183" t="s">
        <v>429</v>
      </c>
      <c r="C183" t="s">
        <v>19</v>
      </c>
      <c r="D183" t="s">
        <v>81</v>
      </c>
      <c r="E183" t="s">
        <v>39</v>
      </c>
      <c r="F183" t="s">
        <v>40</v>
      </c>
      <c r="G183">
        <v>3.7</v>
      </c>
      <c r="H183">
        <v>61991</v>
      </c>
      <c r="I183" t="s">
        <v>430</v>
      </c>
      <c r="J183">
        <v>92.1</v>
      </c>
      <c r="K183">
        <v>16.7</v>
      </c>
      <c r="L183">
        <v>83</v>
      </c>
      <c r="M183">
        <v>99</v>
      </c>
      <c r="N183">
        <v>81</v>
      </c>
      <c r="O183">
        <v>5</v>
      </c>
      <c r="P183">
        <v>19</v>
      </c>
      <c r="Q183" t="s">
        <v>42</v>
      </c>
      <c r="R183" t="s">
        <v>25</v>
      </c>
    </row>
    <row r="184" spans="1:18" x14ac:dyDescent="0.25">
      <c r="A184">
        <v>1183</v>
      </c>
      <c r="B184" t="s">
        <v>431</v>
      </c>
      <c r="C184" t="s">
        <v>27</v>
      </c>
      <c r="D184" t="s">
        <v>75</v>
      </c>
      <c r="E184" t="s">
        <v>85</v>
      </c>
      <c r="F184" t="s">
        <v>86</v>
      </c>
      <c r="G184">
        <v>2.7</v>
      </c>
      <c r="H184">
        <v>52801</v>
      </c>
      <c r="I184" t="s">
        <v>432</v>
      </c>
      <c r="J184">
        <v>90.6</v>
      </c>
      <c r="K184">
        <v>19.399999999999999</v>
      </c>
      <c r="L184">
        <v>93.5</v>
      </c>
      <c r="M184">
        <v>80</v>
      </c>
      <c r="N184">
        <v>76</v>
      </c>
      <c r="O184">
        <v>3</v>
      </c>
      <c r="P184">
        <v>19</v>
      </c>
      <c r="Q184" t="s">
        <v>42</v>
      </c>
      <c r="R184" t="s">
        <v>62</v>
      </c>
    </row>
    <row r="185" spans="1:18" x14ac:dyDescent="0.25">
      <c r="A185">
        <v>1184</v>
      </c>
      <c r="B185" t="s">
        <v>433</v>
      </c>
      <c r="C185" t="s">
        <v>27</v>
      </c>
      <c r="D185" t="s">
        <v>28</v>
      </c>
      <c r="E185" t="s">
        <v>29</v>
      </c>
      <c r="F185" t="s">
        <v>22</v>
      </c>
      <c r="G185">
        <v>4.3</v>
      </c>
      <c r="H185">
        <v>48097</v>
      </c>
      <c r="I185" t="s">
        <v>434</v>
      </c>
      <c r="J185">
        <v>96.8</v>
      </c>
      <c r="K185">
        <v>20.2</v>
      </c>
      <c r="L185">
        <v>91.8</v>
      </c>
      <c r="M185">
        <v>64</v>
      </c>
      <c r="N185">
        <v>54</v>
      </c>
      <c r="O185">
        <v>0</v>
      </c>
      <c r="P185">
        <v>17</v>
      </c>
      <c r="Q185" t="s">
        <v>42</v>
      </c>
      <c r="R185" t="s">
        <v>62</v>
      </c>
    </row>
    <row r="186" spans="1:18" x14ac:dyDescent="0.25">
      <c r="A186">
        <v>1185</v>
      </c>
      <c r="B186" t="s">
        <v>435</v>
      </c>
      <c r="C186" t="s">
        <v>89</v>
      </c>
      <c r="D186" t="s">
        <v>90</v>
      </c>
      <c r="E186" t="s">
        <v>91</v>
      </c>
      <c r="F186" t="s">
        <v>35</v>
      </c>
      <c r="G186">
        <v>2.1</v>
      </c>
      <c r="H186">
        <v>64315</v>
      </c>
      <c r="I186" t="s">
        <v>345</v>
      </c>
      <c r="J186">
        <v>93.5</v>
      </c>
      <c r="K186">
        <v>21.7</v>
      </c>
      <c r="L186">
        <v>92.6</v>
      </c>
      <c r="M186">
        <v>97</v>
      </c>
      <c r="N186">
        <v>94</v>
      </c>
      <c r="O186">
        <v>0</v>
      </c>
      <c r="P186">
        <v>16</v>
      </c>
      <c r="Q186" t="s">
        <v>42</v>
      </c>
      <c r="R186" t="s">
        <v>62</v>
      </c>
    </row>
    <row r="187" spans="1:18" x14ac:dyDescent="0.25">
      <c r="A187">
        <v>1186</v>
      </c>
      <c r="B187" t="s">
        <v>436</v>
      </c>
      <c r="C187" t="s">
        <v>49</v>
      </c>
      <c r="D187" t="s">
        <v>178</v>
      </c>
      <c r="E187" t="s">
        <v>51</v>
      </c>
      <c r="F187" t="s">
        <v>22</v>
      </c>
      <c r="G187">
        <v>2.8</v>
      </c>
      <c r="H187">
        <v>56432</v>
      </c>
      <c r="I187" t="s">
        <v>437</v>
      </c>
      <c r="J187">
        <v>90.4</v>
      </c>
      <c r="K187">
        <v>7.5</v>
      </c>
      <c r="L187">
        <v>84.3</v>
      </c>
      <c r="M187">
        <v>56</v>
      </c>
      <c r="N187">
        <v>45</v>
      </c>
      <c r="O187">
        <v>4</v>
      </c>
      <c r="P187">
        <v>18</v>
      </c>
      <c r="Q187" t="s">
        <v>42</v>
      </c>
      <c r="R187" t="s">
        <v>25</v>
      </c>
    </row>
    <row r="188" spans="1:18" x14ac:dyDescent="0.25">
      <c r="A188">
        <v>1187</v>
      </c>
      <c r="B188" t="s">
        <v>438</v>
      </c>
      <c r="C188" t="s">
        <v>32</v>
      </c>
      <c r="D188" t="s">
        <v>67</v>
      </c>
      <c r="E188" t="s">
        <v>94</v>
      </c>
      <c r="F188" t="s">
        <v>86</v>
      </c>
      <c r="G188">
        <v>6.8</v>
      </c>
      <c r="H188">
        <v>81033</v>
      </c>
      <c r="I188" t="s">
        <v>439</v>
      </c>
      <c r="J188">
        <v>97.6</v>
      </c>
      <c r="K188">
        <v>32.700000000000003</v>
      </c>
      <c r="L188">
        <v>86.7</v>
      </c>
      <c r="M188">
        <v>116</v>
      </c>
      <c r="N188">
        <v>106</v>
      </c>
      <c r="O188">
        <v>3</v>
      </c>
      <c r="P188">
        <v>22</v>
      </c>
      <c r="Q188" t="s">
        <v>24</v>
      </c>
      <c r="R188" t="s">
        <v>25</v>
      </c>
    </row>
    <row r="189" spans="1:18" x14ac:dyDescent="0.25">
      <c r="A189">
        <v>1188</v>
      </c>
      <c r="B189" t="s">
        <v>440</v>
      </c>
      <c r="C189" t="s">
        <v>49</v>
      </c>
      <c r="D189" t="s">
        <v>178</v>
      </c>
      <c r="E189" t="s">
        <v>60</v>
      </c>
      <c r="F189" t="s">
        <v>76</v>
      </c>
      <c r="G189">
        <v>4.3</v>
      </c>
      <c r="H189">
        <v>69896</v>
      </c>
      <c r="I189" t="s">
        <v>441</v>
      </c>
      <c r="J189">
        <v>93.7</v>
      </c>
      <c r="K189">
        <v>0</v>
      </c>
      <c r="L189">
        <v>89</v>
      </c>
      <c r="M189">
        <v>84</v>
      </c>
      <c r="N189">
        <v>84</v>
      </c>
      <c r="O189">
        <v>3</v>
      </c>
      <c r="P189">
        <v>14</v>
      </c>
      <c r="Q189" t="s">
        <v>42</v>
      </c>
      <c r="R189" t="s">
        <v>25</v>
      </c>
    </row>
    <row r="190" spans="1:18" x14ac:dyDescent="0.25">
      <c r="A190">
        <v>1189</v>
      </c>
      <c r="B190" t="s">
        <v>442</v>
      </c>
      <c r="C190" t="s">
        <v>49</v>
      </c>
      <c r="D190" t="s">
        <v>178</v>
      </c>
      <c r="E190" t="s">
        <v>51</v>
      </c>
      <c r="F190" t="s">
        <v>86</v>
      </c>
      <c r="G190">
        <v>4</v>
      </c>
      <c r="H190">
        <v>62638</v>
      </c>
      <c r="I190" t="s">
        <v>443</v>
      </c>
      <c r="J190">
        <v>97.1</v>
      </c>
      <c r="K190">
        <v>0</v>
      </c>
      <c r="L190">
        <v>88.7</v>
      </c>
      <c r="M190">
        <v>51</v>
      </c>
      <c r="N190">
        <v>46</v>
      </c>
      <c r="O190">
        <v>3</v>
      </c>
      <c r="P190">
        <v>19</v>
      </c>
      <c r="Q190" t="s">
        <v>42</v>
      </c>
      <c r="R190" t="s">
        <v>25</v>
      </c>
    </row>
    <row r="191" spans="1:18" x14ac:dyDescent="0.25">
      <c r="A191">
        <v>1190</v>
      </c>
      <c r="B191" t="s">
        <v>444</v>
      </c>
      <c r="C191" t="s">
        <v>49</v>
      </c>
      <c r="D191" t="s">
        <v>178</v>
      </c>
      <c r="E191" t="s">
        <v>60</v>
      </c>
      <c r="F191" t="s">
        <v>40</v>
      </c>
      <c r="G191">
        <v>4.5999999999999996</v>
      </c>
      <c r="H191">
        <v>72270</v>
      </c>
      <c r="I191" t="s">
        <v>445</v>
      </c>
      <c r="J191">
        <v>94.6</v>
      </c>
      <c r="K191">
        <v>8</v>
      </c>
      <c r="L191">
        <v>90.6</v>
      </c>
      <c r="M191">
        <v>80</v>
      </c>
      <c r="N191">
        <v>71</v>
      </c>
      <c r="O191">
        <v>3</v>
      </c>
      <c r="P191">
        <v>18</v>
      </c>
      <c r="Q191" t="s">
        <v>42</v>
      </c>
      <c r="R191" t="s">
        <v>62</v>
      </c>
    </row>
    <row r="192" spans="1:18" x14ac:dyDescent="0.25">
      <c r="A192">
        <v>1191</v>
      </c>
      <c r="B192" t="s">
        <v>446</v>
      </c>
      <c r="C192" t="s">
        <v>44</v>
      </c>
      <c r="D192" t="s">
        <v>54</v>
      </c>
      <c r="E192" t="s">
        <v>97</v>
      </c>
      <c r="F192" t="s">
        <v>76</v>
      </c>
      <c r="G192">
        <v>4.9000000000000004</v>
      </c>
      <c r="H192">
        <v>74901</v>
      </c>
      <c r="I192" t="s">
        <v>447</v>
      </c>
      <c r="J192">
        <v>96.3</v>
      </c>
      <c r="K192">
        <v>15.9</v>
      </c>
      <c r="L192">
        <v>72.3</v>
      </c>
      <c r="M192">
        <v>88</v>
      </c>
      <c r="N192">
        <v>56</v>
      </c>
      <c r="O192">
        <v>7</v>
      </c>
      <c r="P192">
        <v>25</v>
      </c>
      <c r="Q192" t="s">
        <v>24</v>
      </c>
      <c r="R192" t="s">
        <v>57</v>
      </c>
    </row>
    <row r="193" spans="1:18" x14ac:dyDescent="0.25">
      <c r="A193">
        <v>1192</v>
      </c>
      <c r="B193" t="s">
        <v>448</v>
      </c>
      <c r="C193" t="s">
        <v>27</v>
      </c>
      <c r="D193" t="s">
        <v>28</v>
      </c>
      <c r="E193" t="s">
        <v>85</v>
      </c>
      <c r="F193" t="s">
        <v>22</v>
      </c>
      <c r="G193">
        <v>6.2</v>
      </c>
      <c r="H193">
        <v>79050</v>
      </c>
      <c r="I193" t="s">
        <v>449</v>
      </c>
      <c r="J193">
        <v>94.5</v>
      </c>
      <c r="K193">
        <v>3</v>
      </c>
      <c r="L193">
        <v>85.7</v>
      </c>
      <c r="M193">
        <v>54</v>
      </c>
      <c r="N193">
        <v>42</v>
      </c>
      <c r="O193">
        <v>0</v>
      </c>
      <c r="P193">
        <v>16</v>
      </c>
      <c r="Q193" t="s">
        <v>42</v>
      </c>
      <c r="R193" t="s">
        <v>25</v>
      </c>
    </row>
    <row r="194" spans="1:18" x14ac:dyDescent="0.25">
      <c r="A194">
        <v>1193</v>
      </c>
      <c r="B194" t="s">
        <v>450</v>
      </c>
      <c r="C194" t="s">
        <v>89</v>
      </c>
      <c r="D194" t="s">
        <v>121</v>
      </c>
      <c r="E194" t="s">
        <v>111</v>
      </c>
      <c r="F194" t="s">
        <v>35</v>
      </c>
      <c r="G194">
        <v>3.6</v>
      </c>
      <c r="H194">
        <v>65263</v>
      </c>
      <c r="I194" t="s">
        <v>451</v>
      </c>
      <c r="J194">
        <v>89.7</v>
      </c>
      <c r="K194">
        <v>25.4</v>
      </c>
      <c r="L194">
        <v>100</v>
      </c>
      <c r="M194">
        <v>100</v>
      </c>
      <c r="N194">
        <v>94</v>
      </c>
      <c r="O194">
        <v>1</v>
      </c>
      <c r="P194">
        <v>21</v>
      </c>
      <c r="Q194" t="s">
        <v>24</v>
      </c>
      <c r="R194" t="s">
        <v>62</v>
      </c>
    </row>
    <row r="195" spans="1:18" x14ac:dyDescent="0.25">
      <c r="A195">
        <v>1194</v>
      </c>
      <c r="B195" t="s">
        <v>452</v>
      </c>
      <c r="C195" t="s">
        <v>32</v>
      </c>
      <c r="D195" t="s">
        <v>33</v>
      </c>
      <c r="E195" t="s">
        <v>128</v>
      </c>
      <c r="F195" t="s">
        <v>86</v>
      </c>
      <c r="G195">
        <v>4.5</v>
      </c>
      <c r="H195">
        <v>73868</v>
      </c>
      <c r="I195" t="s">
        <v>453</v>
      </c>
      <c r="J195">
        <v>90.7</v>
      </c>
      <c r="K195">
        <v>38.6</v>
      </c>
      <c r="L195">
        <v>79</v>
      </c>
      <c r="M195">
        <v>123</v>
      </c>
      <c r="N195">
        <v>89</v>
      </c>
      <c r="O195">
        <v>3</v>
      </c>
      <c r="P195">
        <v>26</v>
      </c>
      <c r="Q195" t="s">
        <v>37</v>
      </c>
      <c r="R195" t="s">
        <v>57</v>
      </c>
    </row>
    <row r="196" spans="1:18" x14ac:dyDescent="0.25">
      <c r="A196">
        <v>1195</v>
      </c>
      <c r="B196" t="s">
        <v>454</v>
      </c>
      <c r="C196" t="s">
        <v>44</v>
      </c>
      <c r="D196" t="s">
        <v>45</v>
      </c>
      <c r="E196" t="s">
        <v>46</v>
      </c>
      <c r="F196" t="s">
        <v>22</v>
      </c>
      <c r="G196">
        <v>6.9</v>
      </c>
      <c r="H196">
        <v>71970</v>
      </c>
      <c r="I196" t="s">
        <v>455</v>
      </c>
      <c r="J196">
        <v>95.8</v>
      </c>
      <c r="K196">
        <v>14.9</v>
      </c>
      <c r="L196">
        <v>76.400000000000006</v>
      </c>
      <c r="M196">
        <v>92</v>
      </c>
      <c r="N196">
        <v>62</v>
      </c>
      <c r="O196">
        <v>1</v>
      </c>
      <c r="P196">
        <v>24</v>
      </c>
      <c r="Q196" t="s">
        <v>24</v>
      </c>
      <c r="R196" t="s">
        <v>57</v>
      </c>
    </row>
    <row r="197" spans="1:18" x14ac:dyDescent="0.25">
      <c r="A197">
        <v>1196</v>
      </c>
      <c r="B197" t="s">
        <v>456</v>
      </c>
      <c r="C197" t="s">
        <v>89</v>
      </c>
      <c r="D197" t="s">
        <v>90</v>
      </c>
      <c r="E197" t="s">
        <v>91</v>
      </c>
      <c r="F197" t="s">
        <v>76</v>
      </c>
      <c r="G197">
        <v>6.1</v>
      </c>
      <c r="H197">
        <v>86153</v>
      </c>
      <c r="I197" t="s">
        <v>457</v>
      </c>
      <c r="J197">
        <v>89.5</v>
      </c>
      <c r="K197">
        <v>26.4</v>
      </c>
      <c r="L197">
        <v>90.9</v>
      </c>
      <c r="M197">
        <v>75</v>
      </c>
      <c r="N197">
        <v>73</v>
      </c>
      <c r="O197">
        <v>0</v>
      </c>
      <c r="P197">
        <v>20</v>
      </c>
      <c r="Q197" t="s">
        <v>24</v>
      </c>
      <c r="R197" t="s">
        <v>62</v>
      </c>
    </row>
    <row r="198" spans="1:18" x14ac:dyDescent="0.25">
      <c r="A198">
        <v>1197</v>
      </c>
      <c r="B198" t="s">
        <v>458</v>
      </c>
      <c r="C198" t="s">
        <v>89</v>
      </c>
      <c r="D198" t="s">
        <v>102</v>
      </c>
      <c r="E198" t="s">
        <v>111</v>
      </c>
      <c r="F198" t="s">
        <v>35</v>
      </c>
      <c r="G198">
        <v>5.6</v>
      </c>
      <c r="H198">
        <v>79456</v>
      </c>
      <c r="I198" t="s">
        <v>459</v>
      </c>
      <c r="J198">
        <v>94.2</v>
      </c>
      <c r="K198">
        <v>16.2</v>
      </c>
      <c r="L198">
        <v>91.6</v>
      </c>
      <c r="M198">
        <v>74</v>
      </c>
      <c r="N198">
        <v>65</v>
      </c>
      <c r="O198">
        <v>2</v>
      </c>
      <c r="P198">
        <v>18</v>
      </c>
      <c r="Q198" t="s">
        <v>42</v>
      </c>
      <c r="R198" t="s">
        <v>62</v>
      </c>
    </row>
    <row r="199" spans="1:18" x14ac:dyDescent="0.25">
      <c r="A199">
        <v>1198</v>
      </c>
      <c r="B199" t="s">
        <v>460</v>
      </c>
      <c r="C199" t="s">
        <v>89</v>
      </c>
      <c r="D199" t="s">
        <v>102</v>
      </c>
      <c r="E199" t="s">
        <v>91</v>
      </c>
      <c r="F199" t="s">
        <v>40</v>
      </c>
      <c r="G199">
        <v>6.6</v>
      </c>
      <c r="H199">
        <v>77984</v>
      </c>
      <c r="I199" t="s">
        <v>461</v>
      </c>
      <c r="J199">
        <v>85.1</v>
      </c>
      <c r="K199">
        <v>13.7</v>
      </c>
      <c r="L199">
        <v>92.9</v>
      </c>
      <c r="M199">
        <v>79</v>
      </c>
      <c r="N199">
        <v>78</v>
      </c>
      <c r="O199">
        <v>1</v>
      </c>
      <c r="P199">
        <v>9</v>
      </c>
      <c r="Q199" t="s">
        <v>24</v>
      </c>
      <c r="R199" t="s">
        <v>62</v>
      </c>
    </row>
    <row r="200" spans="1:18" x14ac:dyDescent="0.25">
      <c r="A200">
        <v>1199</v>
      </c>
      <c r="B200" t="s">
        <v>462</v>
      </c>
      <c r="C200" t="s">
        <v>32</v>
      </c>
      <c r="D200" t="s">
        <v>67</v>
      </c>
      <c r="E200" t="s">
        <v>128</v>
      </c>
      <c r="F200" t="s">
        <v>103</v>
      </c>
      <c r="G200">
        <v>0.2</v>
      </c>
      <c r="H200">
        <v>45559</v>
      </c>
      <c r="I200" t="s">
        <v>463</v>
      </c>
      <c r="J200">
        <v>92.4</v>
      </c>
      <c r="K200">
        <v>32.4</v>
      </c>
      <c r="L200">
        <v>89</v>
      </c>
      <c r="M200">
        <v>102</v>
      </c>
      <c r="N200">
        <v>88</v>
      </c>
      <c r="O200">
        <v>3</v>
      </c>
      <c r="P200">
        <v>13</v>
      </c>
      <c r="Q200" t="s">
        <v>24</v>
      </c>
      <c r="R200" t="s">
        <v>25</v>
      </c>
    </row>
    <row r="201" spans="1:18" x14ac:dyDescent="0.25">
      <c r="A201">
        <v>1200</v>
      </c>
      <c r="B201" t="s">
        <v>464</v>
      </c>
      <c r="C201" t="s">
        <v>49</v>
      </c>
      <c r="D201" t="s">
        <v>178</v>
      </c>
      <c r="E201" t="s">
        <v>51</v>
      </c>
      <c r="F201" t="s">
        <v>86</v>
      </c>
      <c r="G201">
        <v>0.2</v>
      </c>
      <c r="H201">
        <v>39683</v>
      </c>
      <c r="I201" t="s">
        <v>465</v>
      </c>
      <c r="J201">
        <v>94.8</v>
      </c>
      <c r="K201">
        <v>19.3</v>
      </c>
      <c r="L201">
        <v>86.6</v>
      </c>
      <c r="M201">
        <v>60</v>
      </c>
      <c r="N201">
        <v>59</v>
      </c>
      <c r="O201">
        <v>1</v>
      </c>
      <c r="P201">
        <v>12</v>
      </c>
      <c r="Q201" t="s">
        <v>42</v>
      </c>
      <c r="R201" t="s">
        <v>25</v>
      </c>
    </row>
    <row r="202" spans="1:18" x14ac:dyDescent="0.25">
      <c r="A202">
        <v>1201</v>
      </c>
      <c r="B202" t="s">
        <v>466</v>
      </c>
      <c r="C202" t="s">
        <v>19</v>
      </c>
      <c r="D202" t="s">
        <v>137</v>
      </c>
      <c r="E202" t="s">
        <v>39</v>
      </c>
      <c r="F202" t="s">
        <v>40</v>
      </c>
      <c r="G202">
        <v>4</v>
      </c>
      <c r="H202">
        <v>63570</v>
      </c>
      <c r="I202" t="s">
        <v>467</v>
      </c>
      <c r="J202">
        <v>90.6</v>
      </c>
      <c r="K202">
        <v>17.3</v>
      </c>
      <c r="L202">
        <v>80.7</v>
      </c>
      <c r="M202">
        <v>93</v>
      </c>
      <c r="N202">
        <v>70</v>
      </c>
      <c r="O202">
        <v>0</v>
      </c>
      <c r="P202">
        <v>12</v>
      </c>
      <c r="Q202" t="s">
        <v>42</v>
      </c>
      <c r="R202" t="s">
        <v>25</v>
      </c>
    </row>
    <row r="203" spans="1:18" x14ac:dyDescent="0.25">
      <c r="A203">
        <v>1202</v>
      </c>
      <c r="B203" t="s">
        <v>468</v>
      </c>
      <c r="C203" t="s">
        <v>27</v>
      </c>
      <c r="D203" t="s">
        <v>64</v>
      </c>
      <c r="E203" t="s">
        <v>85</v>
      </c>
      <c r="F203" t="s">
        <v>86</v>
      </c>
      <c r="G203">
        <v>6.3</v>
      </c>
      <c r="H203">
        <v>86052</v>
      </c>
      <c r="I203" t="s">
        <v>469</v>
      </c>
      <c r="J203">
        <v>95.7</v>
      </c>
      <c r="K203">
        <v>8.1</v>
      </c>
      <c r="L203">
        <v>89.5</v>
      </c>
      <c r="M203">
        <v>70</v>
      </c>
      <c r="N203">
        <v>58</v>
      </c>
      <c r="O203">
        <v>3</v>
      </c>
      <c r="P203">
        <v>11</v>
      </c>
      <c r="Q203" t="s">
        <v>42</v>
      </c>
      <c r="R203" t="s">
        <v>25</v>
      </c>
    </row>
    <row r="204" spans="1:18" x14ac:dyDescent="0.25">
      <c r="A204">
        <v>1203</v>
      </c>
      <c r="B204" t="s">
        <v>470</v>
      </c>
      <c r="C204" t="s">
        <v>44</v>
      </c>
      <c r="D204" t="s">
        <v>54</v>
      </c>
      <c r="E204" t="s">
        <v>46</v>
      </c>
      <c r="F204" t="s">
        <v>103</v>
      </c>
      <c r="G204">
        <v>3.8</v>
      </c>
      <c r="H204">
        <v>60235</v>
      </c>
      <c r="I204" t="s">
        <v>174</v>
      </c>
      <c r="J204">
        <v>94.1</v>
      </c>
      <c r="K204">
        <v>25.2</v>
      </c>
      <c r="L204">
        <v>86.5</v>
      </c>
      <c r="M204">
        <v>108</v>
      </c>
      <c r="N204">
        <v>98</v>
      </c>
      <c r="O204">
        <v>2</v>
      </c>
      <c r="P204">
        <v>28</v>
      </c>
      <c r="Q204" t="s">
        <v>37</v>
      </c>
      <c r="R204" t="s">
        <v>25</v>
      </c>
    </row>
    <row r="205" spans="1:18" x14ac:dyDescent="0.25">
      <c r="A205">
        <v>1204</v>
      </c>
      <c r="B205" t="s">
        <v>471</v>
      </c>
      <c r="C205" t="s">
        <v>19</v>
      </c>
      <c r="D205" t="s">
        <v>81</v>
      </c>
      <c r="E205" t="s">
        <v>39</v>
      </c>
      <c r="F205" t="s">
        <v>76</v>
      </c>
      <c r="G205">
        <v>3</v>
      </c>
      <c r="H205">
        <v>57453</v>
      </c>
      <c r="I205" t="s">
        <v>472</v>
      </c>
      <c r="J205">
        <v>91.3</v>
      </c>
      <c r="K205">
        <v>9.5</v>
      </c>
      <c r="L205">
        <v>79.3</v>
      </c>
      <c r="M205">
        <v>86</v>
      </c>
      <c r="N205">
        <v>64</v>
      </c>
      <c r="O205">
        <v>1</v>
      </c>
      <c r="P205">
        <v>13</v>
      </c>
      <c r="Q205" t="s">
        <v>24</v>
      </c>
      <c r="R205" t="s">
        <v>57</v>
      </c>
    </row>
    <row r="206" spans="1:18" x14ac:dyDescent="0.25">
      <c r="A206">
        <v>1205</v>
      </c>
      <c r="B206" t="s">
        <v>473</v>
      </c>
      <c r="C206" t="s">
        <v>19</v>
      </c>
      <c r="D206" t="s">
        <v>81</v>
      </c>
      <c r="E206" t="s">
        <v>39</v>
      </c>
      <c r="F206" t="s">
        <v>22</v>
      </c>
      <c r="G206">
        <v>0.8</v>
      </c>
      <c r="H206">
        <v>45107</v>
      </c>
      <c r="I206" t="s">
        <v>474</v>
      </c>
      <c r="J206">
        <v>88.4</v>
      </c>
      <c r="K206">
        <v>20.9</v>
      </c>
      <c r="L206">
        <v>80</v>
      </c>
      <c r="M206">
        <v>73</v>
      </c>
      <c r="N206">
        <v>52</v>
      </c>
      <c r="O206">
        <v>0</v>
      </c>
      <c r="P206">
        <v>17</v>
      </c>
      <c r="Q206" t="s">
        <v>24</v>
      </c>
      <c r="R206" t="s">
        <v>25</v>
      </c>
    </row>
    <row r="207" spans="1:18" x14ac:dyDescent="0.25">
      <c r="A207">
        <v>1206</v>
      </c>
      <c r="B207" t="s">
        <v>475</v>
      </c>
      <c r="C207" t="s">
        <v>49</v>
      </c>
      <c r="D207" t="s">
        <v>50</v>
      </c>
      <c r="E207" t="s">
        <v>51</v>
      </c>
      <c r="F207" t="s">
        <v>40</v>
      </c>
      <c r="G207">
        <v>3.5</v>
      </c>
      <c r="H207">
        <v>53692</v>
      </c>
      <c r="I207" t="s">
        <v>476</v>
      </c>
      <c r="J207">
        <v>89.9</v>
      </c>
      <c r="K207">
        <v>15.9</v>
      </c>
      <c r="L207">
        <v>81.8</v>
      </c>
      <c r="M207">
        <v>60</v>
      </c>
      <c r="N207">
        <v>43</v>
      </c>
      <c r="O207">
        <v>5</v>
      </c>
      <c r="P207">
        <v>17</v>
      </c>
      <c r="Q207" t="s">
        <v>42</v>
      </c>
      <c r="R207" t="s">
        <v>25</v>
      </c>
    </row>
    <row r="208" spans="1:18" x14ac:dyDescent="0.25">
      <c r="A208">
        <v>1207</v>
      </c>
      <c r="B208" t="s">
        <v>477</v>
      </c>
      <c r="C208" t="s">
        <v>89</v>
      </c>
      <c r="D208" t="s">
        <v>90</v>
      </c>
      <c r="E208" t="s">
        <v>152</v>
      </c>
      <c r="F208" t="s">
        <v>22</v>
      </c>
      <c r="G208">
        <v>2.1</v>
      </c>
      <c r="H208">
        <v>56125</v>
      </c>
      <c r="I208" t="s">
        <v>478</v>
      </c>
      <c r="J208">
        <v>90.8</v>
      </c>
      <c r="K208">
        <v>11.1</v>
      </c>
      <c r="L208">
        <v>84.9</v>
      </c>
      <c r="M208">
        <v>57</v>
      </c>
      <c r="N208">
        <v>51</v>
      </c>
      <c r="O208">
        <v>6</v>
      </c>
      <c r="P208">
        <v>21</v>
      </c>
      <c r="Q208" t="s">
        <v>24</v>
      </c>
      <c r="R208" t="s">
        <v>25</v>
      </c>
    </row>
    <row r="209" spans="1:18" x14ac:dyDescent="0.25">
      <c r="A209">
        <v>1208</v>
      </c>
      <c r="B209" t="s">
        <v>479</v>
      </c>
      <c r="C209" t="s">
        <v>89</v>
      </c>
      <c r="D209" t="s">
        <v>121</v>
      </c>
      <c r="E209" t="s">
        <v>152</v>
      </c>
      <c r="F209" t="s">
        <v>76</v>
      </c>
      <c r="G209">
        <v>2.9</v>
      </c>
      <c r="H209">
        <v>55499</v>
      </c>
      <c r="I209" t="s">
        <v>480</v>
      </c>
      <c r="J209">
        <v>95.4</v>
      </c>
      <c r="K209">
        <v>6.4</v>
      </c>
      <c r="L209">
        <v>100</v>
      </c>
      <c r="M209">
        <v>103</v>
      </c>
      <c r="N209">
        <v>103</v>
      </c>
      <c r="O209">
        <v>0</v>
      </c>
      <c r="P209">
        <v>26</v>
      </c>
      <c r="Q209" t="s">
        <v>42</v>
      </c>
      <c r="R209" t="s">
        <v>62</v>
      </c>
    </row>
    <row r="210" spans="1:18" x14ac:dyDescent="0.25">
      <c r="A210">
        <v>1209</v>
      </c>
      <c r="B210" t="s">
        <v>481</v>
      </c>
      <c r="C210" t="s">
        <v>19</v>
      </c>
      <c r="D210" t="s">
        <v>137</v>
      </c>
      <c r="E210" t="s">
        <v>82</v>
      </c>
      <c r="F210" t="s">
        <v>86</v>
      </c>
      <c r="G210">
        <v>5</v>
      </c>
      <c r="H210">
        <v>58098</v>
      </c>
      <c r="I210" t="s">
        <v>482</v>
      </c>
      <c r="J210">
        <v>91.7</v>
      </c>
      <c r="K210">
        <v>8.1999999999999993</v>
      </c>
      <c r="L210">
        <v>87.4</v>
      </c>
      <c r="M210">
        <v>94</v>
      </c>
      <c r="N210">
        <v>79</v>
      </c>
      <c r="O210">
        <v>2</v>
      </c>
      <c r="P210">
        <v>15</v>
      </c>
      <c r="Q210" t="s">
        <v>24</v>
      </c>
      <c r="R210" t="s">
        <v>25</v>
      </c>
    </row>
    <row r="211" spans="1:18" x14ac:dyDescent="0.25">
      <c r="A211">
        <v>1210</v>
      </c>
      <c r="B211" t="s">
        <v>483</v>
      </c>
      <c r="C211" t="s">
        <v>27</v>
      </c>
      <c r="D211" t="s">
        <v>28</v>
      </c>
      <c r="E211" t="s">
        <v>29</v>
      </c>
      <c r="F211" t="s">
        <v>22</v>
      </c>
      <c r="G211">
        <v>3.8</v>
      </c>
      <c r="H211">
        <v>57417</v>
      </c>
      <c r="I211" t="s">
        <v>484</v>
      </c>
      <c r="J211">
        <v>91.2</v>
      </c>
      <c r="K211">
        <v>20.6</v>
      </c>
      <c r="L211">
        <v>77.3</v>
      </c>
      <c r="M211">
        <v>102</v>
      </c>
      <c r="N211">
        <v>74</v>
      </c>
      <c r="O211">
        <v>5</v>
      </c>
      <c r="P211">
        <v>12</v>
      </c>
      <c r="Q211" t="s">
        <v>42</v>
      </c>
      <c r="R211" t="s">
        <v>57</v>
      </c>
    </row>
    <row r="212" spans="1:18" x14ac:dyDescent="0.25">
      <c r="A212">
        <v>1211</v>
      </c>
      <c r="B212" t="s">
        <v>485</v>
      </c>
      <c r="C212" t="s">
        <v>49</v>
      </c>
      <c r="D212" t="s">
        <v>50</v>
      </c>
      <c r="E212" t="s">
        <v>163</v>
      </c>
      <c r="F212" t="s">
        <v>40</v>
      </c>
      <c r="G212">
        <v>0.2</v>
      </c>
      <c r="H212">
        <v>36953</v>
      </c>
      <c r="I212" t="s">
        <v>92</v>
      </c>
      <c r="J212">
        <v>91.5</v>
      </c>
      <c r="K212">
        <v>1.6</v>
      </c>
      <c r="L212">
        <v>84.9</v>
      </c>
      <c r="M212">
        <v>50</v>
      </c>
      <c r="N212">
        <v>43</v>
      </c>
      <c r="O212">
        <v>4</v>
      </c>
      <c r="P212">
        <v>14</v>
      </c>
      <c r="Q212" t="s">
        <v>42</v>
      </c>
      <c r="R212" t="s">
        <v>25</v>
      </c>
    </row>
    <row r="213" spans="1:18" x14ac:dyDescent="0.25">
      <c r="A213">
        <v>1212</v>
      </c>
      <c r="B213" t="s">
        <v>486</v>
      </c>
      <c r="C213" t="s">
        <v>44</v>
      </c>
      <c r="D213" t="s">
        <v>70</v>
      </c>
      <c r="E213" t="s">
        <v>97</v>
      </c>
      <c r="F213" t="s">
        <v>40</v>
      </c>
      <c r="G213">
        <v>7.1</v>
      </c>
      <c r="H213">
        <v>76681</v>
      </c>
      <c r="I213" t="s">
        <v>487</v>
      </c>
      <c r="J213">
        <v>95.7</v>
      </c>
      <c r="K213">
        <v>25.6</v>
      </c>
      <c r="L213">
        <v>78.5</v>
      </c>
      <c r="M213">
        <v>123</v>
      </c>
      <c r="N213">
        <v>103</v>
      </c>
      <c r="O213">
        <v>1</v>
      </c>
      <c r="P213">
        <v>17</v>
      </c>
      <c r="Q213" t="s">
        <v>24</v>
      </c>
      <c r="R213" t="s">
        <v>57</v>
      </c>
    </row>
    <row r="214" spans="1:18" x14ac:dyDescent="0.25">
      <c r="A214">
        <v>1213</v>
      </c>
      <c r="B214" t="s">
        <v>488</v>
      </c>
      <c r="C214" t="s">
        <v>27</v>
      </c>
      <c r="D214" t="s">
        <v>64</v>
      </c>
      <c r="E214" t="s">
        <v>118</v>
      </c>
      <c r="F214" t="s">
        <v>76</v>
      </c>
      <c r="G214">
        <v>0.2</v>
      </c>
      <c r="H214">
        <v>34734</v>
      </c>
      <c r="I214" t="s">
        <v>489</v>
      </c>
      <c r="J214">
        <v>87.6</v>
      </c>
      <c r="K214">
        <v>2.8</v>
      </c>
      <c r="L214">
        <v>74.7</v>
      </c>
      <c r="M214">
        <v>91</v>
      </c>
      <c r="N214">
        <v>65</v>
      </c>
      <c r="O214">
        <v>1</v>
      </c>
      <c r="P214">
        <v>9</v>
      </c>
      <c r="Q214" t="s">
        <v>24</v>
      </c>
      <c r="R214" t="s">
        <v>57</v>
      </c>
    </row>
    <row r="215" spans="1:18" x14ac:dyDescent="0.25">
      <c r="A215">
        <v>1214</v>
      </c>
      <c r="B215" t="s">
        <v>490</v>
      </c>
      <c r="C215" t="s">
        <v>49</v>
      </c>
      <c r="D215" t="s">
        <v>59</v>
      </c>
      <c r="E215" t="s">
        <v>51</v>
      </c>
      <c r="F215" t="s">
        <v>40</v>
      </c>
      <c r="G215">
        <v>8.4</v>
      </c>
      <c r="H215">
        <v>91191</v>
      </c>
      <c r="I215" t="s">
        <v>491</v>
      </c>
      <c r="J215">
        <v>100</v>
      </c>
      <c r="K215">
        <v>10.9</v>
      </c>
      <c r="L215">
        <v>92.9</v>
      </c>
      <c r="M215">
        <v>65</v>
      </c>
      <c r="N215">
        <v>57</v>
      </c>
      <c r="O215">
        <v>2</v>
      </c>
      <c r="P215">
        <v>12</v>
      </c>
      <c r="Q215" t="s">
        <v>42</v>
      </c>
      <c r="R215" t="s">
        <v>62</v>
      </c>
    </row>
    <row r="216" spans="1:18" x14ac:dyDescent="0.25">
      <c r="A216">
        <v>1215</v>
      </c>
      <c r="B216" t="s">
        <v>492</v>
      </c>
      <c r="C216" t="s">
        <v>44</v>
      </c>
      <c r="D216" t="s">
        <v>70</v>
      </c>
      <c r="E216" t="s">
        <v>46</v>
      </c>
      <c r="F216" t="s">
        <v>35</v>
      </c>
      <c r="G216">
        <v>5</v>
      </c>
      <c r="H216">
        <v>66929</v>
      </c>
      <c r="I216" t="s">
        <v>493</v>
      </c>
      <c r="J216">
        <v>89.2</v>
      </c>
      <c r="K216">
        <v>28.9</v>
      </c>
      <c r="L216">
        <v>70.7</v>
      </c>
      <c r="M216">
        <v>115</v>
      </c>
      <c r="N216">
        <v>83</v>
      </c>
      <c r="O216">
        <v>5</v>
      </c>
      <c r="P216">
        <v>16</v>
      </c>
      <c r="Q216" t="s">
        <v>37</v>
      </c>
      <c r="R216" t="s">
        <v>57</v>
      </c>
    </row>
    <row r="217" spans="1:18" x14ac:dyDescent="0.25">
      <c r="A217">
        <v>1216</v>
      </c>
      <c r="B217" t="s">
        <v>494</v>
      </c>
      <c r="C217" t="s">
        <v>27</v>
      </c>
      <c r="D217" t="s">
        <v>75</v>
      </c>
      <c r="E217" t="s">
        <v>85</v>
      </c>
      <c r="F217" t="s">
        <v>86</v>
      </c>
      <c r="G217">
        <v>3</v>
      </c>
      <c r="H217">
        <v>54919</v>
      </c>
      <c r="I217" t="s">
        <v>495</v>
      </c>
      <c r="J217">
        <v>89.9</v>
      </c>
      <c r="K217">
        <v>20.3</v>
      </c>
      <c r="L217">
        <v>89.5</v>
      </c>
      <c r="M217">
        <v>71</v>
      </c>
      <c r="N217">
        <v>52</v>
      </c>
      <c r="O217">
        <v>0</v>
      </c>
      <c r="P217">
        <v>7</v>
      </c>
      <c r="Q217" t="s">
        <v>42</v>
      </c>
      <c r="R217" t="s">
        <v>25</v>
      </c>
    </row>
    <row r="218" spans="1:18" x14ac:dyDescent="0.25">
      <c r="A218">
        <v>1217</v>
      </c>
      <c r="B218" t="s">
        <v>496</v>
      </c>
      <c r="C218" t="s">
        <v>19</v>
      </c>
      <c r="D218" t="s">
        <v>137</v>
      </c>
      <c r="E218" t="s">
        <v>82</v>
      </c>
      <c r="F218" t="s">
        <v>86</v>
      </c>
      <c r="G218">
        <v>6.2</v>
      </c>
      <c r="H218">
        <v>63376</v>
      </c>
      <c r="I218" t="s">
        <v>497</v>
      </c>
      <c r="J218">
        <v>96.2</v>
      </c>
      <c r="K218">
        <v>29.5</v>
      </c>
      <c r="L218">
        <v>71.3</v>
      </c>
      <c r="M218">
        <v>78</v>
      </c>
      <c r="N218">
        <v>55</v>
      </c>
      <c r="O218">
        <v>5</v>
      </c>
      <c r="P218">
        <v>3</v>
      </c>
      <c r="Q218" t="s">
        <v>37</v>
      </c>
      <c r="R218" t="s">
        <v>57</v>
      </c>
    </row>
    <row r="219" spans="1:18" x14ac:dyDescent="0.25">
      <c r="A219">
        <v>1218</v>
      </c>
      <c r="B219" t="s">
        <v>498</v>
      </c>
      <c r="C219" t="s">
        <v>27</v>
      </c>
      <c r="D219" t="s">
        <v>64</v>
      </c>
      <c r="E219" t="s">
        <v>85</v>
      </c>
      <c r="F219" t="s">
        <v>76</v>
      </c>
      <c r="G219">
        <v>7.3</v>
      </c>
      <c r="H219">
        <v>85692</v>
      </c>
      <c r="I219" t="s">
        <v>499</v>
      </c>
      <c r="J219">
        <v>94.5</v>
      </c>
      <c r="K219">
        <v>9.8000000000000007</v>
      </c>
      <c r="L219">
        <v>90.1</v>
      </c>
      <c r="M219">
        <v>76</v>
      </c>
      <c r="N219">
        <v>65</v>
      </c>
      <c r="O219">
        <v>3</v>
      </c>
      <c r="P219">
        <v>13</v>
      </c>
      <c r="Q219" t="s">
        <v>42</v>
      </c>
      <c r="R219" t="s">
        <v>62</v>
      </c>
    </row>
    <row r="220" spans="1:18" x14ac:dyDescent="0.25">
      <c r="A220">
        <v>1219</v>
      </c>
      <c r="B220" t="s">
        <v>500</v>
      </c>
      <c r="C220" t="s">
        <v>44</v>
      </c>
      <c r="D220" t="s">
        <v>45</v>
      </c>
      <c r="E220" t="s">
        <v>55</v>
      </c>
      <c r="F220" t="s">
        <v>86</v>
      </c>
      <c r="G220">
        <v>0.7</v>
      </c>
      <c r="H220">
        <v>36066</v>
      </c>
      <c r="I220" t="s">
        <v>501</v>
      </c>
      <c r="J220">
        <v>90</v>
      </c>
      <c r="K220">
        <v>28.5</v>
      </c>
      <c r="L220">
        <v>83.1</v>
      </c>
      <c r="M220">
        <v>108</v>
      </c>
      <c r="N220">
        <v>77</v>
      </c>
      <c r="O220">
        <v>1</v>
      </c>
      <c r="P220">
        <v>24</v>
      </c>
      <c r="Q220" t="s">
        <v>37</v>
      </c>
      <c r="R220" t="s">
        <v>25</v>
      </c>
    </row>
    <row r="221" spans="1:18" x14ac:dyDescent="0.25">
      <c r="A221">
        <v>1220</v>
      </c>
      <c r="B221" t="s">
        <v>502</v>
      </c>
      <c r="C221" t="s">
        <v>27</v>
      </c>
      <c r="D221" t="s">
        <v>28</v>
      </c>
      <c r="E221" t="s">
        <v>85</v>
      </c>
      <c r="F221" t="s">
        <v>35</v>
      </c>
      <c r="G221">
        <v>3.5</v>
      </c>
      <c r="H221">
        <v>57855</v>
      </c>
      <c r="I221" t="s">
        <v>503</v>
      </c>
      <c r="J221">
        <v>91.2</v>
      </c>
      <c r="K221">
        <v>13.4</v>
      </c>
      <c r="L221">
        <v>75.099999999999994</v>
      </c>
      <c r="M221">
        <v>73</v>
      </c>
      <c r="N221">
        <v>49</v>
      </c>
      <c r="O221">
        <v>4</v>
      </c>
      <c r="P221">
        <v>14</v>
      </c>
      <c r="Q221" t="s">
        <v>42</v>
      </c>
      <c r="R221" t="s">
        <v>57</v>
      </c>
    </row>
    <row r="222" spans="1:18" x14ac:dyDescent="0.25">
      <c r="A222">
        <v>1221</v>
      </c>
      <c r="B222" t="s">
        <v>504</v>
      </c>
      <c r="C222" t="s">
        <v>32</v>
      </c>
      <c r="D222" t="s">
        <v>67</v>
      </c>
      <c r="E222" t="s">
        <v>128</v>
      </c>
      <c r="F222" t="s">
        <v>22</v>
      </c>
      <c r="G222">
        <v>5.4</v>
      </c>
      <c r="H222">
        <v>79984</v>
      </c>
      <c r="I222" t="s">
        <v>505</v>
      </c>
      <c r="J222">
        <v>96.1</v>
      </c>
      <c r="K222">
        <v>15.1</v>
      </c>
      <c r="L222">
        <v>77.599999999999994</v>
      </c>
      <c r="M222">
        <v>85</v>
      </c>
      <c r="N222">
        <v>61</v>
      </c>
      <c r="O222">
        <v>3</v>
      </c>
      <c r="P222">
        <v>16</v>
      </c>
      <c r="Q222" t="s">
        <v>24</v>
      </c>
      <c r="R222" t="s">
        <v>57</v>
      </c>
    </row>
    <row r="223" spans="1:18" x14ac:dyDescent="0.25">
      <c r="A223">
        <v>1222</v>
      </c>
      <c r="B223" t="s">
        <v>506</v>
      </c>
      <c r="C223" t="s">
        <v>32</v>
      </c>
      <c r="D223" t="s">
        <v>67</v>
      </c>
      <c r="E223" t="s">
        <v>34</v>
      </c>
      <c r="F223" t="s">
        <v>35</v>
      </c>
      <c r="G223">
        <v>0.2</v>
      </c>
      <c r="H223">
        <v>37372</v>
      </c>
      <c r="I223" t="s">
        <v>507</v>
      </c>
      <c r="J223">
        <v>90.2</v>
      </c>
      <c r="K223">
        <v>30.3</v>
      </c>
      <c r="L223">
        <v>80.7</v>
      </c>
      <c r="M223">
        <v>126</v>
      </c>
      <c r="N223">
        <v>89</v>
      </c>
      <c r="O223">
        <v>1</v>
      </c>
      <c r="P223">
        <v>15</v>
      </c>
      <c r="Q223" t="s">
        <v>37</v>
      </c>
      <c r="R223" t="s">
        <v>25</v>
      </c>
    </row>
    <row r="224" spans="1:18" x14ac:dyDescent="0.25">
      <c r="A224">
        <v>1223</v>
      </c>
      <c r="B224" t="s">
        <v>508</v>
      </c>
      <c r="C224" t="s">
        <v>89</v>
      </c>
      <c r="D224" t="s">
        <v>102</v>
      </c>
      <c r="E224" t="s">
        <v>91</v>
      </c>
      <c r="F224" t="s">
        <v>22</v>
      </c>
      <c r="G224">
        <v>3.2</v>
      </c>
      <c r="H224">
        <v>54824</v>
      </c>
      <c r="I224" t="s">
        <v>509</v>
      </c>
      <c r="J224">
        <v>91</v>
      </c>
      <c r="K224">
        <v>21.6</v>
      </c>
      <c r="L224">
        <v>90.7</v>
      </c>
      <c r="M224">
        <v>107</v>
      </c>
      <c r="N224">
        <v>95</v>
      </c>
      <c r="O224">
        <v>3</v>
      </c>
      <c r="P224">
        <v>25</v>
      </c>
      <c r="Q224" t="s">
        <v>42</v>
      </c>
      <c r="R224" t="s">
        <v>62</v>
      </c>
    </row>
    <row r="225" spans="1:18" x14ac:dyDescent="0.25">
      <c r="A225">
        <v>1224</v>
      </c>
      <c r="B225" t="s">
        <v>510</v>
      </c>
      <c r="C225" t="s">
        <v>89</v>
      </c>
      <c r="D225" t="s">
        <v>121</v>
      </c>
      <c r="E225" t="s">
        <v>152</v>
      </c>
      <c r="F225" t="s">
        <v>86</v>
      </c>
      <c r="G225">
        <v>2.8</v>
      </c>
      <c r="H225">
        <v>49257</v>
      </c>
      <c r="I225" t="s">
        <v>511</v>
      </c>
      <c r="J225">
        <v>87.5</v>
      </c>
      <c r="K225">
        <v>14.8</v>
      </c>
      <c r="L225">
        <v>99.7</v>
      </c>
      <c r="M225">
        <v>71</v>
      </c>
      <c r="N225">
        <v>71</v>
      </c>
      <c r="O225">
        <v>0</v>
      </c>
      <c r="P225">
        <v>11</v>
      </c>
      <c r="Q225" t="s">
        <v>24</v>
      </c>
      <c r="R225" t="s">
        <v>62</v>
      </c>
    </row>
    <row r="226" spans="1:18" x14ac:dyDescent="0.25">
      <c r="A226">
        <v>1225</v>
      </c>
      <c r="B226" t="s">
        <v>512</v>
      </c>
      <c r="C226" t="s">
        <v>49</v>
      </c>
      <c r="D226" t="s">
        <v>50</v>
      </c>
      <c r="E226" t="s">
        <v>51</v>
      </c>
      <c r="F226" t="s">
        <v>40</v>
      </c>
      <c r="G226">
        <v>4.8</v>
      </c>
      <c r="H226">
        <v>62144</v>
      </c>
      <c r="I226" t="s">
        <v>513</v>
      </c>
      <c r="J226">
        <v>93.2</v>
      </c>
      <c r="K226">
        <v>17.7</v>
      </c>
      <c r="L226">
        <v>81.900000000000006</v>
      </c>
      <c r="M226">
        <v>58</v>
      </c>
      <c r="N226">
        <v>46</v>
      </c>
      <c r="O226">
        <v>1</v>
      </c>
      <c r="P226">
        <v>13</v>
      </c>
      <c r="Q226" t="s">
        <v>42</v>
      </c>
      <c r="R226" t="s">
        <v>25</v>
      </c>
    </row>
    <row r="227" spans="1:18" x14ac:dyDescent="0.25">
      <c r="A227">
        <v>1226</v>
      </c>
      <c r="B227" t="s">
        <v>514</v>
      </c>
      <c r="C227" t="s">
        <v>49</v>
      </c>
      <c r="D227" t="s">
        <v>50</v>
      </c>
      <c r="E227" t="s">
        <v>163</v>
      </c>
      <c r="F227" t="s">
        <v>103</v>
      </c>
      <c r="G227">
        <v>9.9</v>
      </c>
      <c r="H227">
        <v>100589</v>
      </c>
      <c r="I227" t="s">
        <v>515</v>
      </c>
      <c r="J227">
        <v>92.8</v>
      </c>
      <c r="K227">
        <v>12.4</v>
      </c>
      <c r="L227">
        <v>87.5</v>
      </c>
      <c r="M227">
        <v>63</v>
      </c>
      <c r="N227">
        <v>60</v>
      </c>
      <c r="O227">
        <v>0</v>
      </c>
      <c r="P227">
        <v>7</v>
      </c>
      <c r="Q227" t="s">
        <v>42</v>
      </c>
      <c r="R227" t="s">
        <v>25</v>
      </c>
    </row>
    <row r="228" spans="1:18" x14ac:dyDescent="0.25">
      <c r="A228">
        <v>1227</v>
      </c>
      <c r="B228" t="s">
        <v>516</v>
      </c>
      <c r="C228" t="s">
        <v>27</v>
      </c>
      <c r="D228" t="s">
        <v>28</v>
      </c>
      <c r="E228" t="s">
        <v>118</v>
      </c>
      <c r="F228" t="s">
        <v>103</v>
      </c>
      <c r="G228">
        <v>5.3</v>
      </c>
      <c r="H228">
        <v>83670</v>
      </c>
      <c r="I228" t="s">
        <v>517</v>
      </c>
      <c r="J228">
        <v>97</v>
      </c>
      <c r="K228">
        <v>16.2</v>
      </c>
      <c r="L228">
        <v>85.9</v>
      </c>
      <c r="M228">
        <v>75</v>
      </c>
      <c r="N228">
        <v>63</v>
      </c>
      <c r="O228">
        <v>1</v>
      </c>
      <c r="P228">
        <v>11</v>
      </c>
      <c r="Q228" t="s">
        <v>42</v>
      </c>
      <c r="R228" t="s">
        <v>25</v>
      </c>
    </row>
    <row r="229" spans="1:18" x14ac:dyDescent="0.25">
      <c r="A229">
        <v>1228</v>
      </c>
      <c r="B229" t="s">
        <v>518</v>
      </c>
      <c r="C229" t="s">
        <v>49</v>
      </c>
      <c r="D229" t="s">
        <v>178</v>
      </c>
      <c r="E229" t="s">
        <v>60</v>
      </c>
      <c r="F229" t="s">
        <v>40</v>
      </c>
      <c r="G229">
        <v>4.3</v>
      </c>
      <c r="H229">
        <v>51590</v>
      </c>
      <c r="I229" t="s">
        <v>519</v>
      </c>
      <c r="J229">
        <v>86.3</v>
      </c>
      <c r="K229">
        <v>8.9</v>
      </c>
      <c r="L229">
        <v>72.400000000000006</v>
      </c>
      <c r="M229">
        <v>72</v>
      </c>
      <c r="N229">
        <v>51</v>
      </c>
      <c r="O229">
        <v>4</v>
      </c>
      <c r="P229">
        <v>18</v>
      </c>
      <c r="Q229" t="s">
        <v>37</v>
      </c>
      <c r="R229" t="s">
        <v>57</v>
      </c>
    </row>
    <row r="230" spans="1:18" x14ac:dyDescent="0.25">
      <c r="A230">
        <v>1229</v>
      </c>
      <c r="B230" t="s">
        <v>520</v>
      </c>
      <c r="C230" t="s">
        <v>32</v>
      </c>
      <c r="D230" t="s">
        <v>67</v>
      </c>
      <c r="E230" t="s">
        <v>34</v>
      </c>
      <c r="F230" t="s">
        <v>103</v>
      </c>
      <c r="G230">
        <v>8.3000000000000007</v>
      </c>
      <c r="H230">
        <v>87870</v>
      </c>
      <c r="I230" t="s">
        <v>521</v>
      </c>
      <c r="J230">
        <v>100</v>
      </c>
      <c r="K230">
        <v>27.8</v>
      </c>
      <c r="L230">
        <v>91.1</v>
      </c>
      <c r="M230">
        <v>98</v>
      </c>
      <c r="N230">
        <v>88</v>
      </c>
      <c r="O230">
        <v>0</v>
      </c>
      <c r="P230">
        <v>18</v>
      </c>
      <c r="Q230" t="s">
        <v>24</v>
      </c>
      <c r="R230" t="s">
        <v>62</v>
      </c>
    </row>
    <row r="231" spans="1:18" x14ac:dyDescent="0.25">
      <c r="A231">
        <v>1230</v>
      </c>
      <c r="B231" t="s">
        <v>522</v>
      </c>
      <c r="C231" t="s">
        <v>27</v>
      </c>
      <c r="D231" t="s">
        <v>28</v>
      </c>
      <c r="E231" t="s">
        <v>118</v>
      </c>
      <c r="F231" t="s">
        <v>40</v>
      </c>
      <c r="G231">
        <v>3.3</v>
      </c>
      <c r="H231">
        <v>49965</v>
      </c>
      <c r="I231" t="s">
        <v>523</v>
      </c>
      <c r="J231">
        <v>96.2</v>
      </c>
      <c r="K231">
        <v>34.1</v>
      </c>
      <c r="L231">
        <v>82</v>
      </c>
      <c r="M231">
        <v>118</v>
      </c>
      <c r="N231">
        <v>98</v>
      </c>
      <c r="O231">
        <v>3</v>
      </c>
      <c r="P231">
        <v>11</v>
      </c>
      <c r="Q231" t="s">
        <v>24</v>
      </c>
      <c r="R231" t="s">
        <v>25</v>
      </c>
    </row>
    <row r="232" spans="1:18" x14ac:dyDescent="0.25">
      <c r="A232">
        <v>1231</v>
      </c>
      <c r="B232" t="s">
        <v>524</v>
      </c>
      <c r="C232" t="s">
        <v>44</v>
      </c>
      <c r="D232" t="s">
        <v>54</v>
      </c>
      <c r="E232" t="s">
        <v>46</v>
      </c>
      <c r="F232" t="s">
        <v>22</v>
      </c>
      <c r="G232">
        <v>4.0999999999999996</v>
      </c>
      <c r="H232">
        <v>71235</v>
      </c>
      <c r="I232" t="s">
        <v>525</v>
      </c>
      <c r="J232">
        <v>95.8</v>
      </c>
      <c r="K232">
        <v>3.5</v>
      </c>
      <c r="L232">
        <v>80.5</v>
      </c>
      <c r="M232">
        <v>75</v>
      </c>
      <c r="N232">
        <v>60</v>
      </c>
      <c r="O232">
        <v>4</v>
      </c>
      <c r="P232">
        <v>16</v>
      </c>
      <c r="Q232" t="s">
        <v>24</v>
      </c>
      <c r="R232" t="s">
        <v>25</v>
      </c>
    </row>
    <row r="233" spans="1:18" x14ac:dyDescent="0.25">
      <c r="A233">
        <v>1232</v>
      </c>
      <c r="B233" t="s">
        <v>526</v>
      </c>
      <c r="C233" t="s">
        <v>19</v>
      </c>
      <c r="D233" t="s">
        <v>20</v>
      </c>
      <c r="E233" t="s">
        <v>39</v>
      </c>
      <c r="F233" t="s">
        <v>76</v>
      </c>
      <c r="G233">
        <v>2.8</v>
      </c>
      <c r="H233">
        <v>51212</v>
      </c>
      <c r="I233" t="s">
        <v>527</v>
      </c>
      <c r="J233">
        <v>92.3</v>
      </c>
      <c r="K233">
        <v>16.5</v>
      </c>
      <c r="L233">
        <v>75.900000000000006</v>
      </c>
      <c r="M233">
        <v>85</v>
      </c>
      <c r="N233">
        <v>66</v>
      </c>
      <c r="O233">
        <v>5</v>
      </c>
      <c r="P233">
        <v>10</v>
      </c>
      <c r="Q233" t="s">
        <v>37</v>
      </c>
      <c r="R233" t="s">
        <v>57</v>
      </c>
    </row>
    <row r="234" spans="1:18" x14ac:dyDescent="0.25">
      <c r="A234">
        <v>1233</v>
      </c>
      <c r="B234" t="s">
        <v>528</v>
      </c>
      <c r="C234" t="s">
        <v>32</v>
      </c>
      <c r="D234" t="s">
        <v>106</v>
      </c>
      <c r="E234" t="s">
        <v>94</v>
      </c>
      <c r="F234" t="s">
        <v>35</v>
      </c>
      <c r="G234">
        <v>7.8</v>
      </c>
      <c r="H234">
        <v>97332</v>
      </c>
      <c r="I234" t="s">
        <v>529</v>
      </c>
      <c r="J234">
        <v>97.1</v>
      </c>
      <c r="K234">
        <v>25.4</v>
      </c>
      <c r="L234">
        <v>98.1</v>
      </c>
      <c r="M234">
        <v>104</v>
      </c>
      <c r="N234">
        <v>93</v>
      </c>
      <c r="O234">
        <v>3</v>
      </c>
      <c r="P234">
        <v>8</v>
      </c>
      <c r="Q234" t="s">
        <v>37</v>
      </c>
      <c r="R234" t="s">
        <v>62</v>
      </c>
    </row>
    <row r="235" spans="1:18" x14ac:dyDescent="0.25">
      <c r="A235">
        <v>1234</v>
      </c>
      <c r="B235" t="s">
        <v>530</v>
      </c>
      <c r="C235" t="s">
        <v>44</v>
      </c>
      <c r="D235" t="s">
        <v>54</v>
      </c>
      <c r="E235" t="s">
        <v>55</v>
      </c>
      <c r="F235" t="s">
        <v>35</v>
      </c>
      <c r="G235">
        <v>1.3</v>
      </c>
      <c r="H235">
        <v>53340</v>
      </c>
      <c r="I235" t="s">
        <v>531</v>
      </c>
      <c r="J235">
        <v>93.3</v>
      </c>
      <c r="K235">
        <v>12.4</v>
      </c>
      <c r="L235">
        <v>75.099999999999994</v>
      </c>
      <c r="M235">
        <v>106</v>
      </c>
      <c r="N235">
        <v>74</v>
      </c>
      <c r="O235">
        <v>4</v>
      </c>
      <c r="P235">
        <v>21</v>
      </c>
      <c r="Q235" t="s">
        <v>37</v>
      </c>
      <c r="R235" t="s">
        <v>57</v>
      </c>
    </row>
    <row r="236" spans="1:18" x14ac:dyDescent="0.25">
      <c r="A236">
        <v>1235</v>
      </c>
      <c r="B236" t="s">
        <v>532</v>
      </c>
      <c r="C236" t="s">
        <v>19</v>
      </c>
      <c r="D236" t="s">
        <v>20</v>
      </c>
      <c r="E236" t="s">
        <v>21</v>
      </c>
      <c r="F236" t="s">
        <v>22</v>
      </c>
      <c r="G236">
        <v>5</v>
      </c>
      <c r="H236">
        <v>61164</v>
      </c>
      <c r="I236" t="s">
        <v>533</v>
      </c>
      <c r="J236">
        <v>89.8</v>
      </c>
      <c r="K236">
        <v>33.1</v>
      </c>
      <c r="L236">
        <v>80.599999999999994</v>
      </c>
      <c r="M236">
        <v>115</v>
      </c>
      <c r="N236">
        <v>82</v>
      </c>
      <c r="O236">
        <v>4</v>
      </c>
      <c r="P236">
        <v>9</v>
      </c>
      <c r="Q236" t="s">
        <v>37</v>
      </c>
      <c r="R236" t="s">
        <v>25</v>
      </c>
    </row>
    <row r="237" spans="1:18" x14ac:dyDescent="0.25">
      <c r="A237">
        <v>1236</v>
      </c>
      <c r="B237" t="s">
        <v>534</v>
      </c>
      <c r="C237" t="s">
        <v>44</v>
      </c>
      <c r="D237" t="s">
        <v>54</v>
      </c>
      <c r="E237" t="s">
        <v>55</v>
      </c>
      <c r="F237" t="s">
        <v>35</v>
      </c>
      <c r="G237">
        <v>8.9</v>
      </c>
      <c r="H237">
        <v>92131</v>
      </c>
      <c r="I237" t="s">
        <v>535</v>
      </c>
      <c r="J237">
        <v>92.1</v>
      </c>
      <c r="K237">
        <v>18.7</v>
      </c>
      <c r="L237">
        <v>86.5</v>
      </c>
      <c r="M237">
        <v>89</v>
      </c>
      <c r="N237">
        <v>73</v>
      </c>
      <c r="O237">
        <v>5</v>
      </c>
      <c r="P237">
        <v>22</v>
      </c>
      <c r="Q237" t="s">
        <v>24</v>
      </c>
      <c r="R237" t="s">
        <v>25</v>
      </c>
    </row>
    <row r="238" spans="1:18" x14ac:dyDescent="0.25">
      <c r="A238">
        <v>1237</v>
      </c>
      <c r="B238" t="s">
        <v>536</v>
      </c>
      <c r="C238" t="s">
        <v>49</v>
      </c>
      <c r="D238" t="s">
        <v>50</v>
      </c>
      <c r="E238" t="s">
        <v>60</v>
      </c>
      <c r="F238" t="s">
        <v>40</v>
      </c>
      <c r="G238">
        <v>5</v>
      </c>
      <c r="H238">
        <v>58831</v>
      </c>
      <c r="I238" t="s">
        <v>537</v>
      </c>
      <c r="J238">
        <v>91.6</v>
      </c>
      <c r="K238">
        <v>20.6</v>
      </c>
      <c r="L238">
        <v>93</v>
      </c>
      <c r="M238">
        <v>81</v>
      </c>
      <c r="N238">
        <v>71</v>
      </c>
      <c r="O238">
        <v>0</v>
      </c>
      <c r="P238">
        <v>14</v>
      </c>
      <c r="Q238" t="s">
        <v>42</v>
      </c>
      <c r="R238" t="s">
        <v>62</v>
      </c>
    </row>
    <row r="239" spans="1:18" x14ac:dyDescent="0.25">
      <c r="A239">
        <v>1238</v>
      </c>
      <c r="B239" t="s">
        <v>538</v>
      </c>
      <c r="C239" t="s">
        <v>89</v>
      </c>
      <c r="D239" t="s">
        <v>121</v>
      </c>
      <c r="E239" t="s">
        <v>152</v>
      </c>
      <c r="F239" t="s">
        <v>76</v>
      </c>
      <c r="G239">
        <v>7.2</v>
      </c>
      <c r="H239">
        <v>98910</v>
      </c>
      <c r="I239" t="s">
        <v>539</v>
      </c>
      <c r="J239">
        <v>94.4</v>
      </c>
      <c r="K239">
        <v>23.5</v>
      </c>
      <c r="L239">
        <v>82.3</v>
      </c>
      <c r="M239">
        <v>95</v>
      </c>
      <c r="N239">
        <v>85</v>
      </c>
      <c r="O239">
        <v>4</v>
      </c>
      <c r="P239">
        <v>9</v>
      </c>
      <c r="Q239" t="s">
        <v>24</v>
      </c>
      <c r="R239" t="s">
        <v>25</v>
      </c>
    </row>
    <row r="240" spans="1:18" x14ac:dyDescent="0.25">
      <c r="A240">
        <v>1239</v>
      </c>
      <c r="B240" t="s">
        <v>540</v>
      </c>
      <c r="C240" t="s">
        <v>27</v>
      </c>
      <c r="D240" t="s">
        <v>64</v>
      </c>
      <c r="E240" t="s">
        <v>118</v>
      </c>
      <c r="F240" t="s">
        <v>35</v>
      </c>
      <c r="G240">
        <v>0.6</v>
      </c>
      <c r="H240">
        <v>33386</v>
      </c>
      <c r="I240" t="s">
        <v>541</v>
      </c>
      <c r="J240">
        <v>92.8</v>
      </c>
      <c r="K240">
        <v>3.9</v>
      </c>
      <c r="L240">
        <v>97.1</v>
      </c>
      <c r="M240">
        <v>59</v>
      </c>
      <c r="N240">
        <v>54</v>
      </c>
      <c r="O240">
        <v>1</v>
      </c>
      <c r="P240">
        <v>15</v>
      </c>
      <c r="Q240" t="s">
        <v>42</v>
      </c>
      <c r="R240" t="s">
        <v>62</v>
      </c>
    </row>
    <row r="241" spans="1:18" x14ac:dyDescent="0.25">
      <c r="A241">
        <v>1240</v>
      </c>
      <c r="B241" t="s">
        <v>542</v>
      </c>
      <c r="C241" t="s">
        <v>32</v>
      </c>
      <c r="D241" t="s">
        <v>33</v>
      </c>
      <c r="E241" t="s">
        <v>34</v>
      </c>
      <c r="F241" t="s">
        <v>103</v>
      </c>
      <c r="G241">
        <v>6</v>
      </c>
      <c r="H241">
        <v>72218</v>
      </c>
      <c r="I241" t="s">
        <v>543</v>
      </c>
      <c r="J241">
        <v>94.2</v>
      </c>
      <c r="K241">
        <v>25.8</v>
      </c>
      <c r="L241">
        <v>87.9</v>
      </c>
      <c r="M241">
        <v>106</v>
      </c>
      <c r="N241">
        <v>105</v>
      </c>
      <c r="O241">
        <v>0</v>
      </c>
      <c r="P241">
        <v>22</v>
      </c>
      <c r="Q241" t="s">
        <v>24</v>
      </c>
      <c r="R241" t="s">
        <v>25</v>
      </c>
    </row>
    <row r="242" spans="1:18" x14ac:dyDescent="0.25">
      <c r="A242">
        <v>1241</v>
      </c>
      <c r="B242" t="s">
        <v>544</v>
      </c>
      <c r="C242" t="s">
        <v>27</v>
      </c>
      <c r="D242" t="s">
        <v>75</v>
      </c>
      <c r="E242" t="s">
        <v>29</v>
      </c>
      <c r="F242" t="s">
        <v>103</v>
      </c>
      <c r="G242">
        <v>2.6</v>
      </c>
      <c r="H242">
        <v>45450</v>
      </c>
      <c r="I242" t="s">
        <v>545</v>
      </c>
      <c r="J242">
        <v>94.3</v>
      </c>
      <c r="K242">
        <v>5.0999999999999996</v>
      </c>
      <c r="L242">
        <v>97.8</v>
      </c>
      <c r="M242">
        <v>82</v>
      </c>
      <c r="N242">
        <v>82</v>
      </c>
      <c r="O242">
        <v>1</v>
      </c>
      <c r="P242">
        <v>25</v>
      </c>
      <c r="Q242" t="s">
        <v>42</v>
      </c>
      <c r="R242" t="s">
        <v>62</v>
      </c>
    </row>
    <row r="243" spans="1:18" x14ac:dyDescent="0.25">
      <c r="A243">
        <v>1242</v>
      </c>
      <c r="B243" t="s">
        <v>546</v>
      </c>
      <c r="C243" t="s">
        <v>32</v>
      </c>
      <c r="D243" t="s">
        <v>33</v>
      </c>
      <c r="E243" t="s">
        <v>34</v>
      </c>
      <c r="F243" t="s">
        <v>35</v>
      </c>
      <c r="G243">
        <v>1.5</v>
      </c>
      <c r="H243">
        <v>48974</v>
      </c>
      <c r="I243" t="s">
        <v>547</v>
      </c>
      <c r="J243">
        <v>92.4</v>
      </c>
      <c r="K243">
        <v>19.2</v>
      </c>
      <c r="L243">
        <v>100</v>
      </c>
      <c r="M243">
        <v>83</v>
      </c>
      <c r="N243">
        <v>83</v>
      </c>
      <c r="O243">
        <v>0</v>
      </c>
      <c r="P243">
        <v>25</v>
      </c>
      <c r="Q243" t="s">
        <v>42</v>
      </c>
      <c r="R243" t="s">
        <v>62</v>
      </c>
    </row>
    <row r="244" spans="1:18" x14ac:dyDescent="0.25">
      <c r="A244">
        <v>1243</v>
      </c>
      <c r="B244" t="s">
        <v>548</v>
      </c>
      <c r="C244" t="s">
        <v>19</v>
      </c>
      <c r="D244" t="s">
        <v>137</v>
      </c>
      <c r="E244" t="s">
        <v>82</v>
      </c>
      <c r="F244" t="s">
        <v>86</v>
      </c>
      <c r="G244">
        <v>3.2</v>
      </c>
      <c r="H244">
        <v>50907</v>
      </c>
      <c r="I244" t="s">
        <v>549</v>
      </c>
      <c r="J244">
        <v>86.8</v>
      </c>
      <c r="K244">
        <v>24.3</v>
      </c>
      <c r="L244">
        <v>76.2</v>
      </c>
      <c r="M244">
        <v>72</v>
      </c>
      <c r="N244">
        <v>51</v>
      </c>
      <c r="O244">
        <v>5</v>
      </c>
      <c r="P244">
        <v>6</v>
      </c>
      <c r="Q244" t="s">
        <v>37</v>
      </c>
      <c r="R244" t="s">
        <v>57</v>
      </c>
    </row>
    <row r="245" spans="1:18" x14ac:dyDescent="0.25">
      <c r="A245">
        <v>1244</v>
      </c>
      <c r="B245" t="s">
        <v>550</v>
      </c>
      <c r="C245" t="s">
        <v>19</v>
      </c>
      <c r="D245" t="s">
        <v>20</v>
      </c>
      <c r="E245" t="s">
        <v>82</v>
      </c>
      <c r="F245" t="s">
        <v>40</v>
      </c>
      <c r="G245">
        <v>6.2</v>
      </c>
      <c r="H245">
        <v>84414</v>
      </c>
      <c r="I245" t="s">
        <v>551</v>
      </c>
      <c r="J245">
        <v>95.7</v>
      </c>
      <c r="K245">
        <v>24.3</v>
      </c>
      <c r="L245">
        <v>80.5</v>
      </c>
      <c r="M245">
        <v>101</v>
      </c>
      <c r="N245">
        <v>83</v>
      </c>
      <c r="O245">
        <v>1</v>
      </c>
      <c r="P245">
        <v>13</v>
      </c>
      <c r="Q245" t="s">
        <v>24</v>
      </c>
      <c r="R245" t="s">
        <v>25</v>
      </c>
    </row>
    <row r="246" spans="1:18" x14ac:dyDescent="0.25">
      <c r="A246">
        <v>1245</v>
      </c>
      <c r="B246" t="s">
        <v>552</v>
      </c>
      <c r="C246" t="s">
        <v>32</v>
      </c>
      <c r="D246" t="s">
        <v>33</v>
      </c>
      <c r="E246" t="s">
        <v>128</v>
      </c>
      <c r="F246" t="s">
        <v>103</v>
      </c>
      <c r="G246">
        <v>5.4</v>
      </c>
      <c r="H246">
        <v>74718</v>
      </c>
      <c r="I246" t="s">
        <v>553</v>
      </c>
      <c r="J246">
        <v>94</v>
      </c>
      <c r="K246">
        <v>26.8</v>
      </c>
      <c r="L246">
        <v>79.8</v>
      </c>
      <c r="M246">
        <v>110</v>
      </c>
      <c r="N246">
        <v>104</v>
      </c>
      <c r="O246">
        <v>3</v>
      </c>
      <c r="P246">
        <v>10</v>
      </c>
      <c r="Q246" t="s">
        <v>37</v>
      </c>
      <c r="R246" t="s">
        <v>57</v>
      </c>
    </row>
    <row r="247" spans="1:18" x14ac:dyDescent="0.25">
      <c r="A247">
        <v>1246</v>
      </c>
      <c r="B247" t="s">
        <v>554</v>
      </c>
      <c r="C247" t="s">
        <v>32</v>
      </c>
      <c r="D247" t="s">
        <v>67</v>
      </c>
      <c r="E247" t="s">
        <v>94</v>
      </c>
      <c r="F247" t="s">
        <v>40</v>
      </c>
      <c r="G247">
        <v>2.2999999999999998</v>
      </c>
      <c r="H247">
        <v>59146</v>
      </c>
      <c r="I247" t="s">
        <v>555</v>
      </c>
      <c r="J247">
        <v>94.2</v>
      </c>
      <c r="K247">
        <v>35.200000000000003</v>
      </c>
      <c r="L247">
        <v>83.5</v>
      </c>
      <c r="M247">
        <v>124</v>
      </c>
      <c r="N247">
        <v>100</v>
      </c>
      <c r="O247">
        <v>0</v>
      </c>
      <c r="P247">
        <v>13</v>
      </c>
      <c r="Q247" t="s">
        <v>37</v>
      </c>
      <c r="R247" t="s">
        <v>25</v>
      </c>
    </row>
    <row r="248" spans="1:18" x14ac:dyDescent="0.25">
      <c r="A248">
        <v>1247</v>
      </c>
      <c r="B248" t="s">
        <v>556</v>
      </c>
      <c r="C248" t="s">
        <v>19</v>
      </c>
      <c r="D248" t="s">
        <v>81</v>
      </c>
      <c r="E248" t="s">
        <v>39</v>
      </c>
      <c r="F248" t="s">
        <v>103</v>
      </c>
      <c r="G248">
        <v>8.5</v>
      </c>
      <c r="H248">
        <v>89564</v>
      </c>
      <c r="I248" t="s">
        <v>557</v>
      </c>
      <c r="J248">
        <v>95.8</v>
      </c>
      <c r="K248">
        <v>5.6</v>
      </c>
      <c r="L248">
        <v>80</v>
      </c>
      <c r="M248">
        <v>67</v>
      </c>
      <c r="N248">
        <v>46</v>
      </c>
      <c r="O248">
        <v>3</v>
      </c>
      <c r="P248">
        <v>14</v>
      </c>
      <c r="Q248" t="s">
        <v>24</v>
      </c>
      <c r="R248" t="s">
        <v>25</v>
      </c>
    </row>
    <row r="249" spans="1:18" x14ac:dyDescent="0.25">
      <c r="A249">
        <v>1248</v>
      </c>
      <c r="B249" t="s">
        <v>558</v>
      </c>
      <c r="C249" t="s">
        <v>32</v>
      </c>
      <c r="D249" t="s">
        <v>106</v>
      </c>
      <c r="E249" t="s">
        <v>34</v>
      </c>
      <c r="F249" t="s">
        <v>40</v>
      </c>
      <c r="G249">
        <v>7.3</v>
      </c>
      <c r="H249">
        <v>91646</v>
      </c>
      <c r="I249" t="s">
        <v>559</v>
      </c>
      <c r="J249">
        <v>96.5</v>
      </c>
      <c r="K249">
        <v>30.5</v>
      </c>
      <c r="L249">
        <v>84.7</v>
      </c>
      <c r="M249">
        <v>114</v>
      </c>
      <c r="N249">
        <v>107</v>
      </c>
      <c r="O249">
        <v>2</v>
      </c>
      <c r="P249">
        <v>19</v>
      </c>
      <c r="Q249" t="s">
        <v>37</v>
      </c>
      <c r="R249" t="s">
        <v>25</v>
      </c>
    </row>
    <row r="250" spans="1:18" x14ac:dyDescent="0.25">
      <c r="A250">
        <v>1249</v>
      </c>
      <c r="B250" t="s">
        <v>560</v>
      </c>
      <c r="C250" t="s">
        <v>44</v>
      </c>
      <c r="D250" t="s">
        <v>54</v>
      </c>
      <c r="E250" t="s">
        <v>55</v>
      </c>
      <c r="F250" t="s">
        <v>76</v>
      </c>
      <c r="G250">
        <v>4.0999999999999996</v>
      </c>
      <c r="H250">
        <v>54232</v>
      </c>
      <c r="I250" t="s">
        <v>561</v>
      </c>
      <c r="J250">
        <v>90.7</v>
      </c>
      <c r="K250">
        <v>22.5</v>
      </c>
      <c r="L250">
        <v>78.2</v>
      </c>
      <c r="M250">
        <v>85</v>
      </c>
      <c r="N250">
        <v>66</v>
      </c>
      <c r="O250">
        <v>4</v>
      </c>
      <c r="P250">
        <v>20</v>
      </c>
      <c r="Q250" t="s">
        <v>37</v>
      </c>
      <c r="R250" t="s">
        <v>57</v>
      </c>
    </row>
    <row r="251" spans="1:18" x14ac:dyDescent="0.25">
      <c r="A251">
        <v>1250</v>
      </c>
      <c r="B251" t="s">
        <v>562</v>
      </c>
      <c r="C251" t="s">
        <v>89</v>
      </c>
      <c r="D251" t="s">
        <v>102</v>
      </c>
      <c r="E251" t="s">
        <v>152</v>
      </c>
      <c r="F251" t="s">
        <v>103</v>
      </c>
      <c r="G251">
        <v>4.0999999999999996</v>
      </c>
      <c r="H251">
        <v>59780</v>
      </c>
      <c r="I251" t="s">
        <v>563</v>
      </c>
      <c r="J251">
        <v>98.6</v>
      </c>
      <c r="K251">
        <v>15.4</v>
      </c>
      <c r="L251">
        <v>92.5</v>
      </c>
      <c r="M251">
        <v>76</v>
      </c>
      <c r="N251">
        <v>75</v>
      </c>
      <c r="O251">
        <v>1</v>
      </c>
      <c r="P251">
        <v>18</v>
      </c>
      <c r="Q251" t="s">
        <v>42</v>
      </c>
      <c r="R251" t="s">
        <v>62</v>
      </c>
    </row>
    <row r="252" spans="1:18" x14ac:dyDescent="0.25">
      <c r="A252">
        <v>1251</v>
      </c>
      <c r="B252" t="s">
        <v>564</v>
      </c>
      <c r="C252" t="s">
        <v>19</v>
      </c>
      <c r="D252" t="s">
        <v>20</v>
      </c>
      <c r="E252" t="s">
        <v>82</v>
      </c>
      <c r="F252" t="s">
        <v>103</v>
      </c>
      <c r="G252">
        <v>5.8</v>
      </c>
      <c r="H252">
        <v>72170</v>
      </c>
      <c r="I252" t="s">
        <v>565</v>
      </c>
      <c r="J252">
        <v>90.2</v>
      </c>
      <c r="K252">
        <v>30</v>
      </c>
      <c r="L252">
        <v>86.9</v>
      </c>
      <c r="M252">
        <v>98</v>
      </c>
      <c r="N252">
        <v>76</v>
      </c>
      <c r="O252">
        <v>0</v>
      </c>
      <c r="P252">
        <v>10</v>
      </c>
      <c r="Q252" t="s">
        <v>37</v>
      </c>
      <c r="R252" t="s">
        <v>25</v>
      </c>
    </row>
    <row r="253" spans="1:18" x14ac:dyDescent="0.25">
      <c r="A253">
        <v>1252</v>
      </c>
      <c r="B253" t="s">
        <v>566</v>
      </c>
      <c r="C253" t="s">
        <v>27</v>
      </c>
      <c r="D253" t="s">
        <v>75</v>
      </c>
      <c r="E253" t="s">
        <v>85</v>
      </c>
      <c r="F253" t="s">
        <v>76</v>
      </c>
      <c r="G253">
        <v>4.0999999999999996</v>
      </c>
      <c r="H253">
        <v>64999</v>
      </c>
      <c r="I253" t="s">
        <v>249</v>
      </c>
      <c r="J253">
        <v>88.7</v>
      </c>
      <c r="K253">
        <v>6.3</v>
      </c>
      <c r="L253">
        <v>83</v>
      </c>
      <c r="M253">
        <v>57</v>
      </c>
      <c r="N253">
        <v>43</v>
      </c>
      <c r="O253">
        <v>4</v>
      </c>
      <c r="P253">
        <v>14</v>
      </c>
      <c r="Q253" t="s">
        <v>24</v>
      </c>
      <c r="R253" t="s">
        <v>25</v>
      </c>
    </row>
    <row r="254" spans="1:18" x14ac:dyDescent="0.25">
      <c r="A254">
        <v>1253</v>
      </c>
      <c r="B254" t="s">
        <v>567</v>
      </c>
      <c r="C254" t="s">
        <v>89</v>
      </c>
      <c r="D254" t="s">
        <v>90</v>
      </c>
      <c r="E254" t="s">
        <v>91</v>
      </c>
      <c r="F254" t="s">
        <v>40</v>
      </c>
      <c r="G254">
        <v>0.2</v>
      </c>
      <c r="H254">
        <v>45339</v>
      </c>
      <c r="I254" t="s">
        <v>568</v>
      </c>
      <c r="J254">
        <v>90.8</v>
      </c>
      <c r="K254">
        <v>20.399999999999999</v>
      </c>
      <c r="L254">
        <v>93.9</v>
      </c>
      <c r="M254">
        <v>100</v>
      </c>
      <c r="N254">
        <v>99</v>
      </c>
      <c r="O254">
        <v>2</v>
      </c>
      <c r="P254">
        <v>18</v>
      </c>
      <c r="Q254" t="s">
        <v>42</v>
      </c>
      <c r="R254" t="s">
        <v>62</v>
      </c>
    </row>
    <row r="255" spans="1:18" x14ac:dyDescent="0.25">
      <c r="A255">
        <v>1254</v>
      </c>
      <c r="B255" t="s">
        <v>569</v>
      </c>
      <c r="C255" t="s">
        <v>89</v>
      </c>
      <c r="D255" t="s">
        <v>121</v>
      </c>
      <c r="E255" t="s">
        <v>152</v>
      </c>
      <c r="F255" t="s">
        <v>40</v>
      </c>
      <c r="G255">
        <v>1</v>
      </c>
      <c r="H255">
        <v>45146</v>
      </c>
      <c r="I255" t="s">
        <v>570</v>
      </c>
      <c r="J255">
        <v>93.9</v>
      </c>
      <c r="K255">
        <v>8.3000000000000007</v>
      </c>
      <c r="L255">
        <v>93.3</v>
      </c>
      <c r="M255">
        <v>60</v>
      </c>
      <c r="N255">
        <v>52</v>
      </c>
      <c r="O255">
        <v>0</v>
      </c>
      <c r="P255">
        <v>17</v>
      </c>
      <c r="Q255" t="s">
        <v>24</v>
      </c>
      <c r="R255" t="s">
        <v>62</v>
      </c>
    </row>
    <row r="256" spans="1:18" x14ac:dyDescent="0.25">
      <c r="A256">
        <v>1255</v>
      </c>
      <c r="B256" t="s">
        <v>571</v>
      </c>
      <c r="C256" t="s">
        <v>32</v>
      </c>
      <c r="D256" t="s">
        <v>33</v>
      </c>
      <c r="E256" t="s">
        <v>128</v>
      </c>
      <c r="F256" t="s">
        <v>35</v>
      </c>
      <c r="G256">
        <v>2.4</v>
      </c>
      <c r="H256">
        <v>45688</v>
      </c>
      <c r="I256" t="s">
        <v>572</v>
      </c>
      <c r="J256">
        <v>90.3</v>
      </c>
      <c r="K256">
        <v>34.200000000000003</v>
      </c>
      <c r="L256">
        <v>80.5</v>
      </c>
      <c r="M256">
        <v>109</v>
      </c>
      <c r="N256">
        <v>75</v>
      </c>
      <c r="O256">
        <v>5</v>
      </c>
      <c r="P256">
        <v>15</v>
      </c>
      <c r="Q256" t="s">
        <v>37</v>
      </c>
      <c r="R256" t="s">
        <v>25</v>
      </c>
    </row>
    <row r="257" spans="1:18" x14ac:dyDescent="0.25">
      <c r="A257">
        <v>1256</v>
      </c>
      <c r="B257" t="s">
        <v>573</v>
      </c>
      <c r="C257" t="s">
        <v>19</v>
      </c>
      <c r="D257" t="s">
        <v>137</v>
      </c>
      <c r="E257" t="s">
        <v>82</v>
      </c>
      <c r="F257" t="s">
        <v>22</v>
      </c>
      <c r="G257">
        <v>5.3</v>
      </c>
      <c r="H257">
        <v>66643</v>
      </c>
      <c r="I257" t="s">
        <v>574</v>
      </c>
      <c r="J257">
        <v>95.1</v>
      </c>
      <c r="K257">
        <v>19.3</v>
      </c>
      <c r="L257">
        <v>75.900000000000006</v>
      </c>
      <c r="M257">
        <v>101</v>
      </c>
      <c r="N257">
        <v>90</v>
      </c>
      <c r="O257">
        <v>4</v>
      </c>
      <c r="P257">
        <v>9</v>
      </c>
      <c r="Q257" t="s">
        <v>24</v>
      </c>
      <c r="R257" t="s">
        <v>57</v>
      </c>
    </row>
    <row r="258" spans="1:18" x14ac:dyDescent="0.25">
      <c r="A258">
        <v>1257</v>
      </c>
      <c r="B258" t="s">
        <v>575</v>
      </c>
      <c r="C258" t="s">
        <v>27</v>
      </c>
      <c r="D258" t="s">
        <v>28</v>
      </c>
      <c r="E258" t="s">
        <v>29</v>
      </c>
      <c r="F258" t="s">
        <v>103</v>
      </c>
      <c r="G258">
        <v>3.2</v>
      </c>
      <c r="H258">
        <v>60148</v>
      </c>
      <c r="I258" t="s">
        <v>576</v>
      </c>
      <c r="J258">
        <v>94.4</v>
      </c>
      <c r="K258">
        <v>15.3</v>
      </c>
      <c r="L258">
        <v>86.3</v>
      </c>
      <c r="M258">
        <v>92</v>
      </c>
      <c r="N258">
        <v>79</v>
      </c>
      <c r="O258">
        <v>4</v>
      </c>
      <c r="P258">
        <v>9</v>
      </c>
      <c r="Q258" t="s">
        <v>42</v>
      </c>
      <c r="R258" t="s">
        <v>25</v>
      </c>
    </row>
    <row r="259" spans="1:18" x14ac:dyDescent="0.25">
      <c r="A259">
        <v>1258</v>
      </c>
      <c r="B259" t="s">
        <v>577</v>
      </c>
      <c r="C259" t="s">
        <v>44</v>
      </c>
      <c r="D259" t="s">
        <v>45</v>
      </c>
      <c r="E259" t="s">
        <v>46</v>
      </c>
      <c r="F259" t="s">
        <v>103</v>
      </c>
      <c r="G259">
        <v>0.2</v>
      </c>
      <c r="H259">
        <v>43418</v>
      </c>
      <c r="I259" t="s">
        <v>578</v>
      </c>
      <c r="J259">
        <v>90.3</v>
      </c>
      <c r="K259">
        <v>17.7</v>
      </c>
      <c r="L259">
        <v>70</v>
      </c>
      <c r="M259">
        <v>107</v>
      </c>
      <c r="N259">
        <v>75</v>
      </c>
      <c r="O259">
        <v>5</v>
      </c>
      <c r="P259">
        <v>9</v>
      </c>
      <c r="Q259" t="s">
        <v>37</v>
      </c>
      <c r="R259" t="s">
        <v>57</v>
      </c>
    </row>
    <row r="260" spans="1:18" x14ac:dyDescent="0.25">
      <c r="A260">
        <v>1259</v>
      </c>
      <c r="B260" t="s">
        <v>579</v>
      </c>
      <c r="C260" t="s">
        <v>19</v>
      </c>
      <c r="D260" t="s">
        <v>81</v>
      </c>
      <c r="E260" t="s">
        <v>21</v>
      </c>
      <c r="F260" t="s">
        <v>35</v>
      </c>
      <c r="G260">
        <v>4.0999999999999996</v>
      </c>
      <c r="H260">
        <v>49086</v>
      </c>
      <c r="I260" t="s">
        <v>580</v>
      </c>
      <c r="J260">
        <v>91</v>
      </c>
      <c r="K260">
        <v>34.1</v>
      </c>
      <c r="L260">
        <v>83</v>
      </c>
      <c r="M260">
        <v>81</v>
      </c>
      <c r="N260">
        <v>70</v>
      </c>
      <c r="O260">
        <v>5</v>
      </c>
      <c r="P260">
        <v>11</v>
      </c>
      <c r="Q260" t="s">
        <v>37</v>
      </c>
      <c r="R260" t="s">
        <v>25</v>
      </c>
    </row>
    <row r="261" spans="1:18" x14ac:dyDescent="0.25">
      <c r="A261">
        <v>1260</v>
      </c>
      <c r="B261" t="s">
        <v>581</v>
      </c>
      <c r="C261" t="s">
        <v>19</v>
      </c>
      <c r="D261" t="s">
        <v>20</v>
      </c>
      <c r="E261" t="s">
        <v>39</v>
      </c>
      <c r="F261" t="s">
        <v>86</v>
      </c>
      <c r="G261">
        <v>7.4</v>
      </c>
      <c r="H261">
        <v>79698</v>
      </c>
      <c r="I261" t="s">
        <v>582</v>
      </c>
      <c r="J261">
        <v>96.6</v>
      </c>
      <c r="K261">
        <v>23.4</v>
      </c>
      <c r="L261">
        <v>92.6</v>
      </c>
      <c r="M261">
        <v>98</v>
      </c>
      <c r="N261">
        <v>96</v>
      </c>
      <c r="O261">
        <v>1</v>
      </c>
      <c r="P261">
        <v>20</v>
      </c>
      <c r="Q261" t="s">
        <v>42</v>
      </c>
      <c r="R261" t="s">
        <v>62</v>
      </c>
    </row>
    <row r="262" spans="1:18" x14ac:dyDescent="0.25">
      <c r="A262">
        <v>1261</v>
      </c>
      <c r="B262" t="s">
        <v>583</v>
      </c>
      <c r="C262" t="s">
        <v>32</v>
      </c>
      <c r="D262" t="s">
        <v>67</v>
      </c>
      <c r="E262" t="s">
        <v>94</v>
      </c>
      <c r="F262" t="s">
        <v>76</v>
      </c>
      <c r="G262">
        <v>4.7</v>
      </c>
      <c r="H262">
        <v>55715</v>
      </c>
      <c r="I262" t="s">
        <v>584</v>
      </c>
      <c r="J262">
        <v>97.1</v>
      </c>
      <c r="K262">
        <v>18.2</v>
      </c>
      <c r="L262">
        <v>81.7</v>
      </c>
      <c r="M262">
        <v>76</v>
      </c>
      <c r="N262">
        <v>58</v>
      </c>
      <c r="O262">
        <v>4</v>
      </c>
      <c r="P262">
        <v>23</v>
      </c>
      <c r="Q262" t="s">
        <v>24</v>
      </c>
      <c r="R262" t="s">
        <v>25</v>
      </c>
    </row>
    <row r="263" spans="1:18" x14ac:dyDescent="0.25">
      <c r="A263">
        <v>1262</v>
      </c>
      <c r="B263" t="s">
        <v>585</v>
      </c>
      <c r="C263" t="s">
        <v>89</v>
      </c>
      <c r="D263" t="s">
        <v>121</v>
      </c>
      <c r="E263" t="s">
        <v>91</v>
      </c>
      <c r="F263" t="s">
        <v>40</v>
      </c>
      <c r="G263">
        <v>0.2</v>
      </c>
      <c r="H263">
        <v>34513</v>
      </c>
      <c r="I263" t="s">
        <v>586</v>
      </c>
      <c r="J263">
        <v>85.1</v>
      </c>
      <c r="K263">
        <v>21.6</v>
      </c>
      <c r="L263">
        <v>79.400000000000006</v>
      </c>
      <c r="M263">
        <v>78</v>
      </c>
      <c r="N263">
        <v>58</v>
      </c>
      <c r="O263">
        <v>6</v>
      </c>
      <c r="P263">
        <v>13</v>
      </c>
      <c r="Q263" t="s">
        <v>24</v>
      </c>
      <c r="R263" t="s">
        <v>57</v>
      </c>
    </row>
    <row r="264" spans="1:18" x14ac:dyDescent="0.25">
      <c r="A264">
        <v>1263</v>
      </c>
      <c r="B264" t="s">
        <v>587</v>
      </c>
      <c r="C264" t="s">
        <v>27</v>
      </c>
      <c r="D264" t="s">
        <v>75</v>
      </c>
      <c r="E264" t="s">
        <v>85</v>
      </c>
      <c r="F264" t="s">
        <v>22</v>
      </c>
      <c r="G264">
        <v>2</v>
      </c>
      <c r="H264">
        <v>42157</v>
      </c>
      <c r="I264" t="s">
        <v>527</v>
      </c>
      <c r="J264">
        <v>91.1</v>
      </c>
      <c r="K264">
        <v>20.3</v>
      </c>
      <c r="L264">
        <v>91</v>
      </c>
      <c r="M264">
        <v>85</v>
      </c>
      <c r="N264">
        <v>74</v>
      </c>
      <c r="O264">
        <v>3</v>
      </c>
      <c r="P264">
        <v>4</v>
      </c>
      <c r="Q264" t="s">
        <v>42</v>
      </c>
      <c r="R264" t="s">
        <v>62</v>
      </c>
    </row>
    <row r="265" spans="1:18" x14ac:dyDescent="0.25">
      <c r="A265">
        <v>1264</v>
      </c>
      <c r="B265" t="s">
        <v>588</v>
      </c>
      <c r="C265" t="s">
        <v>19</v>
      </c>
      <c r="D265" t="s">
        <v>137</v>
      </c>
      <c r="E265" t="s">
        <v>21</v>
      </c>
      <c r="F265" t="s">
        <v>35</v>
      </c>
      <c r="G265">
        <v>4.3</v>
      </c>
      <c r="H265">
        <v>66902</v>
      </c>
      <c r="I265" t="s">
        <v>273</v>
      </c>
      <c r="J265">
        <v>92.7</v>
      </c>
      <c r="K265">
        <v>28.1</v>
      </c>
      <c r="L265">
        <v>84.6</v>
      </c>
      <c r="M265">
        <v>95</v>
      </c>
      <c r="N265">
        <v>78</v>
      </c>
      <c r="O265">
        <v>0</v>
      </c>
      <c r="P265">
        <v>4</v>
      </c>
      <c r="Q265" t="s">
        <v>37</v>
      </c>
      <c r="R265" t="s">
        <v>25</v>
      </c>
    </row>
    <row r="266" spans="1:18" x14ac:dyDescent="0.25">
      <c r="A266">
        <v>1265</v>
      </c>
      <c r="B266" t="s">
        <v>589</v>
      </c>
      <c r="C266" t="s">
        <v>89</v>
      </c>
      <c r="D266" t="s">
        <v>102</v>
      </c>
      <c r="E266" t="s">
        <v>91</v>
      </c>
      <c r="F266" t="s">
        <v>86</v>
      </c>
      <c r="G266">
        <v>6.3</v>
      </c>
      <c r="H266">
        <v>82774</v>
      </c>
      <c r="I266" t="s">
        <v>590</v>
      </c>
      <c r="J266">
        <v>89.5</v>
      </c>
      <c r="K266">
        <v>15</v>
      </c>
      <c r="L266">
        <v>87.2</v>
      </c>
      <c r="M266">
        <v>77</v>
      </c>
      <c r="N266">
        <v>64</v>
      </c>
      <c r="O266">
        <v>0</v>
      </c>
      <c r="P266">
        <v>25</v>
      </c>
      <c r="Q266" t="s">
        <v>24</v>
      </c>
      <c r="R266" t="s">
        <v>25</v>
      </c>
    </row>
    <row r="267" spans="1:18" x14ac:dyDescent="0.25">
      <c r="A267">
        <v>1266</v>
      </c>
      <c r="B267" t="s">
        <v>591</v>
      </c>
      <c r="C267" t="s">
        <v>32</v>
      </c>
      <c r="D267" t="s">
        <v>33</v>
      </c>
      <c r="E267" t="s">
        <v>94</v>
      </c>
      <c r="F267" t="s">
        <v>22</v>
      </c>
      <c r="G267">
        <v>6.3</v>
      </c>
      <c r="H267">
        <v>92480</v>
      </c>
      <c r="I267" t="s">
        <v>592</v>
      </c>
      <c r="J267">
        <v>83.4</v>
      </c>
      <c r="K267">
        <v>23.8</v>
      </c>
      <c r="L267">
        <v>78.7</v>
      </c>
      <c r="M267">
        <v>124</v>
      </c>
      <c r="N267">
        <v>99</v>
      </c>
      <c r="O267">
        <v>2</v>
      </c>
      <c r="P267">
        <v>18</v>
      </c>
      <c r="Q267" t="s">
        <v>24</v>
      </c>
      <c r="R267" t="s">
        <v>57</v>
      </c>
    </row>
    <row r="268" spans="1:18" x14ac:dyDescent="0.25">
      <c r="A268">
        <v>1267</v>
      </c>
      <c r="B268" t="s">
        <v>593</v>
      </c>
      <c r="C268" t="s">
        <v>44</v>
      </c>
      <c r="D268" t="s">
        <v>54</v>
      </c>
      <c r="E268" t="s">
        <v>55</v>
      </c>
      <c r="F268" t="s">
        <v>76</v>
      </c>
      <c r="G268">
        <v>9.6</v>
      </c>
      <c r="H268">
        <v>89048</v>
      </c>
      <c r="I268" t="s">
        <v>176</v>
      </c>
      <c r="J268">
        <v>89.3</v>
      </c>
      <c r="K268">
        <v>25.6</v>
      </c>
      <c r="L268">
        <v>76.099999999999994</v>
      </c>
      <c r="M268">
        <v>110</v>
      </c>
      <c r="N268">
        <v>85</v>
      </c>
      <c r="O268">
        <v>0</v>
      </c>
      <c r="P268">
        <v>20</v>
      </c>
      <c r="Q268" t="s">
        <v>37</v>
      </c>
      <c r="R268" t="s">
        <v>57</v>
      </c>
    </row>
    <row r="269" spans="1:18" x14ac:dyDescent="0.25">
      <c r="A269">
        <v>1268</v>
      </c>
      <c r="B269" t="s">
        <v>594</v>
      </c>
      <c r="C269" t="s">
        <v>89</v>
      </c>
      <c r="D269" t="s">
        <v>90</v>
      </c>
      <c r="E269" t="s">
        <v>91</v>
      </c>
      <c r="F269" t="s">
        <v>86</v>
      </c>
      <c r="G269">
        <v>3.5</v>
      </c>
      <c r="H269">
        <v>44901</v>
      </c>
      <c r="I269" t="s">
        <v>595</v>
      </c>
      <c r="J269">
        <v>90.3</v>
      </c>
      <c r="K269">
        <v>19.7</v>
      </c>
      <c r="L269">
        <v>85.8</v>
      </c>
      <c r="M269">
        <v>55</v>
      </c>
      <c r="N269">
        <v>50</v>
      </c>
      <c r="O269">
        <v>2</v>
      </c>
      <c r="P269">
        <v>13</v>
      </c>
      <c r="Q269" t="s">
        <v>42</v>
      </c>
      <c r="R269" t="s">
        <v>25</v>
      </c>
    </row>
    <row r="270" spans="1:18" x14ac:dyDescent="0.25">
      <c r="A270">
        <v>1269</v>
      </c>
      <c r="B270" t="s">
        <v>596</v>
      </c>
      <c r="C270" t="s">
        <v>44</v>
      </c>
      <c r="D270" t="s">
        <v>54</v>
      </c>
      <c r="E270" t="s">
        <v>46</v>
      </c>
      <c r="F270" t="s">
        <v>76</v>
      </c>
      <c r="G270">
        <v>6.2</v>
      </c>
      <c r="H270">
        <v>79371</v>
      </c>
      <c r="I270" t="s">
        <v>597</v>
      </c>
      <c r="J270">
        <v>96</v>
      </c>
      <c r="K270">
        <v>0</v>
      </c>
      <c r="L270">
        <v>75.3</v>
      </c>
      <c r="M270">
        <v>80</v>
      </c>
      <c r="N270">
        <v>49</v>
      </c>
      <c r="O270">
        <v>1</v>
      </c>
      <c r="P270">
        <v>16</v>
      </c>
      <c r="Q270" t="s">
        <v>37</v>
      </c>
      <c r="R270" t="s">
        <v>57</v>
      </c>
    </row>
    <row r="271" spans="1:18" x14ac:dyDescent="0.25">
      <c r="A271">
        <v>1270</v>
      </c>
      <c r="B271" t="s">
        <v>598</v>
      </c>
      <c r="C271" t="s">
        <v>32</v>
      </c>
      <c r="D271" t="s">
        <v>67</v>
      </c>
      <c r="E271" t="s">
        <v>128</v>
      </c>
      <c r="F271" t="s">
        <v>76</v>
      </c>
      <c r="G271">
        <v>3.2</v>
      </c>
      <c r="H271">
        <v>62665</v>
      </c>
      <c r="I271" t="s">
        <v>599</v>
      </c>
      <c r="J271">
        <v>91.1</v>
      </c>
      <c r="K271">
        <v>22.2</v>
      </c>
      <c r="L271">
        <v>82.3</v>
      </c>
      <c r="M271">
        <v>99</v>
      </c>
      <c r="N271">
        <v>79</v>
      </c>
      <c r="O271">
        <v>0</v>
      </c>
      <c r="P271">
        <v>14</v>
      </c>
      <c r="Q271" t="s">
        <v>24</v>
      </c>
      <c r="R271" t="s">
        <v>25</v>
      </c>
    </row>
    <row r="272" spans="1:18" x14ac:dyDescent="0.25">
      <c r="A272">
        <v>1271</v>
      </c>
      <c r="B272" t="s">
        <v>600</v>
      </c>
      <c r="C272" t="s">
        <v>44</v>
      </c>
      <c r="D272" t="s">
        <v>45</v>
      </c>
      <c r="E272" t="s">
        <v>46</v>
      </c>
      <c r="F272" t="s">
        <v>103</v>
      </c>
      <c r="G272">
        <v>3.3</v>
      </c>
      <c r="H272">
        <v>48350</v>
      </c>
      <c r="I272" t="s">
        <v>601</v>
      </c>
      <c r="J272">
        <v>93</v>
      </c>
      <c r="K272">
        <v>28.1</v>
      </c>
      <c r="L272">
        <v>82.3</v>
      </c>
      <c r="M272">
        <v>103</v>
      </c>
      <c r="N272">
        <v>93</v>
      </c>
      <c r="O272">
        <v>2</v>
      </c>
      <c r="P272">
        <v>14</v>
      </c>
      <c r="Q272" t="s">
        <v>37</v>
      </c>
      <c r="R272" t="s">
        <v>25</v>
      </c>
    </row>
    <row r="273" spans="1:18" x14ac:dyDescent="0.25">
      <c r="A273">
        <v>1272</v>
      </c>
      <c r="B273" t="s">
        <v>602</v>
      </c>
      <c r="C273" t="s">
        <v>27</v>
      </c>
      <c r="D273" t="s">
        <v>28</v>
      </c>
      <c r="E273" t="s">
        <v>29</v>
      </c>
      <c r="F273" t="s">
        <v>76</v>
      </c>
      <c r="G273">
        <v>9</v>
      </c>
      <c r="H273">
        <v>95569</v>
      </c>
      <c r="I273" t="s">
        <v>603</v>
      </c>
      <c r="J273">
        <v>90.7</v>
      </c>
      <c r="K273">
        <v>13.9</v>
      </c>
      <c r="L273">
        <v>95.8</v>
      </c>
      <c r="M273">
        <v>50</v>
      </c>
      <c r="N273">
        <v>44</v>
      </c>
      <c r="O273">
        <v>1</v>
      </c>
      <c r="P273">
        <v>28</v>
      </c>
      <c r="Q273" t="s">
        <v>42</v>
      </c>
      <c r="R273" t="s">
        <v>62</v>
      </c>
    </row>
    <row r="274" spans="1:18" x14ac:dyDescent="0.25">
      <c r="A274">
        <v>1273</v>
      </c>
      <c r="B274" t="s">
        <v>604</v>
      </c>
      <c r="C274" t="s">
        <v>89</v>
      </c>
      <c r="D274" t="s">
        <v>121</v>
      </c>
      <c r="E274" t="s">
        <v>91</v>
      </c>
      <c r="F274" t="s">
        <v>103</v>
      </c>
      <c r="G274">
        <v>0.2</v>
      </c>
      <c r="H274">
        <v>34727</v>
      </c>
      <c r="I274" t="s">
        <v>605</v>
      </c>
      <c r="J274">
        <v>93.4</v>
      </c>
      <c r="K274">
        <v>17.5</v>
      </c>
      <c r="L274">
        <v>87.8</v>
      </c>
      <c r="M274">
        <v>88</v>
      </c>
      <c r="N274">
        <v>77</v>
      </c>
      <c r="O274">
        <v>2</v>
      </c>
      <c r="P274">
        <v>10</v>
      </c>
      <c r="Q274" t="s">
        <v>42</v>
      </c>
      <c r="R274" t="s">
        <v>25</v>
      </c>
    </row>
    <row r="275" spans="1:18" x14ac:dyDescent="0.25">
      <c r="A275">
        <v>1274</v>
      </c>
      <c r="B275" t="s">
        <v>606</v>
      </c>
      <c r="C275" t="s">
        <v>44</v>
      </c>
      <c r="D275" t="s">
        <v>54</v>
      </c>
      <c r="E275" t="s">
        <v>46</v>
      </c>
      <c r="F275" t="s">
        <v>76</v>
      </c>
      <c r="G275">
        <v>2</v>
      </c>
      <c r="H275">
        <v>60839</v>
      </c>
      <c r="I275" t="s">
        <v>607</v>
      </c>
      <c r="J275">
        <v>87.8</v>
      </c>
      <c r="K275">
        <v>24.3</v>
      </c>
      <c r="L275">
        <v>78.099999999999994</v>
      </c>
      <c r="M275">
        <v>104</v>
      </c>
      <c r="N275">
        <v>79</v>
      </c>
      <c r="O275">
        <v>3</v>
      </c>
      <c r="P275">
        <v>20</v>
      </c>
      <c r="Q275" t="s">
        <v>37</v>
      </c>
      <c r="R275" t="s">
        <v>57</v>
      </c>
    </row>
    <row r="276" spans="1:18" x14ac:dyDescent="0.25">
      <c r="A276">
        <v>1275</v>
      </c>
      <c r="B276" t="s">
        <v>608</v>
      </c>
      <c r="C276" t="s">
        <v>44</v>
      </c>
      <c r="D276" t="s">
        <v>45</v>
      </c>
      <c r="E276" t="s">
        <v>46</v>
      </c>
      <c r="F276" t="s">
        <v>35</v>
      </c>
      <c r="G276">
        <v>4.0999999999999996</v>
      </c>
      <c r="H276">
        <v>56736</v>
      </c>
      <c r="I276" t="s">
        <v>393</v>
      </c>
      <c r="J276">
        <v>89.7</v>
      </c>
      <c r="K276">
        <v>17.399999999999999</v>
      </c>
      <c r="L276">
        <v>77.5</v>
      </c>
      <c r="M276">
        <v>114</v>
      </c>
      <c r="N276">
        <v>93</v>
      </c>
      <c r="O276">
        <v>4</v>
      </c>
      <c r="P276">
        <v>24</v>
      </c>
      <c r="Q276" t="s">
        <v>37</v>
      </c>
      <c r="R276" t="s">
        <v>57</v>
      </c>
    </row>
    <row r="277" spans="1:18" x14ac:dyDescent="0.25">
      <c r="A277">
        <v>1276</v>
      </c>
      <c r="B277" t="s">
        <v>609</v>
      </c>
      <c r="C277" t="s">
        <v>89</v>
      </c>
      <c r="D277" t="s">
        <v>102</v>
      </c>
      <c r="E277" t="s">
        <v>91</v>
      </c>
      <c r="F277" t="s">
        <v>76</v>
      </c>
      <c r="G277">
        <v>3.6</v>
      </c>
      <c r="H277">
        <v>64570</v>
      </c>
      <c r="I277" t="s">
        <v>610</v>
      </c>
      <c r="J277">
        <v>86.4</v>
      </c>
      <c r="K277">
        <v>26.2</v>
      </c>
      <c r="L277">
        <v>77.900000000000006</v>
      </c>
      <c r="M277">
        <v>96</v>
      </c>
      <c r="N277">
        <v>76</v>
      </c>
      <c r="O277">
        <v>3</v>
      </c>
      <c r="P277">
        <v>24</v>
      </c>
      <c r="Q277" t="s">
        <v>37</v>
      </c>
      <c r="R277" t="s">
        <v>57</v>
      </c>
    </row>
    <row r="278" spans="1:18" x14ac:dyDescent="0.25">
      <c r="A278">
        <v>1277</v>
      </c>
      <c r="B278" t="s">
        <v>611</v>
      </c>
      <c r="C278" t="s">
        <v>32</v>
      </c>
      <c r="D278" t="s">
        <v>67</v>
      </c>
      <c r="E278" t="s">
        <v>94</v>
      </c>
      <c r="F278" t="s">
        <v>76</v>
      </c>
      <c r="G278">
        <v>2.9</v>
      </c>
      <c r="H278">
        <v>52514</v>
      </c>
      <c r="I278" t="s">
        <v>612</v>
      </c>
      <c r="J278">
        <v>95.3</v>
      </c>
      <c r="K278">
        <v>33.9</v>
      </c>
      <c r="L278">
        <v>83.2</v>
      </c>
      <c r="M278">
        <v>135</v>
      </c>
      <c r="N278">
        <v>110</v>
      </c>
      <c r="O278">
        <v>6</v>
      </c>
      <c r="P278">
        <v>16</v>
      </c>
      <c r="Q278" t="s">
        <v>37</v>
      </c>
      <c r="R278" t="s">
        <v>25</v>
      </c>
    </row>
    <row r="279" spans="1:18" x14ac:dyDescent="0.25">
      <c r="A279">
        <v>1278</v>
      </c>
      <c r="B279" t="s">
        <v>613</v>
      </c>
      <c r="C279" t="s">
        <v>89</v>
      </c>
      <c r="D279" t="s">
        <v>121</v>
      </c>
      <c r="E279" t="s">
        <v>152</v>
      </c>
      <c r="F279" t="s">
        <v>76</v>
      </c>
      <c r="G279">
        <v>3.1</v>
      </c>
      <c r="H279">
        <v>49721</v>
      </c>
      <c r="I279" t="s">
        <v>614</v>
      </c>
      <c r="J279">
        <v>87</v>
      </c>
      <c r="K279">
        <v>27.8</v>
      </c>
      <c r="L279">
        <v>87</v>
      </c>
      <c r="M279">
        <v>83</v>
      </c>
      <c r="N279">
        <v>67</v>
      </c>
      <c r="O279">
        <v>5</v>
      </c>
      <c r="P279">
        <v>14</v>
      </c>
      <c r="Q279" t="s">
        <v>24</v>
      </c>
      <c r="R279" t="s">
        <v>25</v>
      </c>
    </row>
    <row r="280" spans="1:18" x14ac:dyDescent="0.25">
      <c r="A280">
        <v>1279</v>
      </c>
      <c r="B280" t="s">
        <v>615</v>
      </c>
      <c r="C280" t="s">
        <v>32</v>
      </c>
      <c r="D280" t="s">
        <v>33</v>
      </c>
      <c r="E280" t="s">
        <v>94</v>
      </c>
      <c r="F280" t="s">
        <v>35</v>
      </c>
      <c r="G280">
        <v>4.3</v>
      </c>
      <c r="H280">
        <v>51550</v>
      </c>
      <c r="I280" t="s">
        <v>616</v>
      </c>
      <c r="J280">
        <v>93.5</v>
      </c>
      <c r="K280">
        <v>22.9</v>
      </c>
      <c r="L280">
        <v>80.400000000000006</v>
      </c>
      <c r="M280">
        <v>96</v>
      </c>
      <c r="N280">
        <v>72</v>
      </c>
      <c r="O280">
        <v>4</v>
      </c>
      <c r="P280">
        <v>14</v>
      </c>
      <c r="Q280" t="s">
        <v>24</v>
      </c>
      <c r="R280" t="s">
        <v>25</v>
      </c>
    </row>
    <row r="281" spans="1:18" x14ac:dyDescent="0.25">
      <c r="A281">
        <v>1280</v>
      </c>
      <c r="B281" t="s">
        <v>617</v>
      </c>
      <c r="C281" t="s">
        <v>27</v>
      </c>
      <c r="D281" t="s">
        <v>28</v>
      </c>
      <c r="E281" t="s">
        <v>85</v>
      </c>
      <c r="F281" t="s">
        <v>103</v>
      </c>
      <c r="G281">
        <v>7</v>
      </c>
      <c r="H281">
        <v>87165</v>
      </c>
      <c r="I281" t="s">
        <v>618</v>
      </c>
      <c r="J281">
        <v>91.3</v>
      </c>
      <c r="K281">
        <v>23.2</v>
      </c>
      <c r="L281">
        <v>85.1</v>
      </c>
      <c r="M281">
        <v>70</v>
      </c>
      <c r="N281">
        <v>57</v>
      </c>
      <c r="O281">
        <v>3</v>
      </c>
      <c r="P281">
        <v>8</v>
      </c>
      <c r="Q281" t="s">
        <v>24</v>
      </c>
      <c r="R281" t="s">
        <v>25</v>
      </c>
    </row>
    <row r="282" spans="1:18" x14ac:dyDescent="0.25">
      <c r="A282">
        <v>1281</v>
      </c>
      <c r="B282" t="s">
        <v>619</v>
      </c>
      <c r="C282" t="s">
        <v>19</v>
      </c>
      <c r="D282" t="s">
        <v>20</v>
      </c>
      <c r="E282" t="s">
        <v>39</v>
      </c>
      <c r="F282" t="s">
        <v>86</v>
      </c>
      <c r="G282">
        <v>3.5</v>
      </c>
      <c r="H282">
        <v>51460</v>
      </c>
      <c r="I282" t="s">
        <v>620</v>
      </c>
      <c r="J282">
        <v>96.2</v>
      </c>
      <c r="K282">
        <v>12.5</v>
      </c>
      <c r="L282">
        <v>81.099999999999994</v>
      </c>
      <c r="M282">
        <v>96</v>
      </c>
      <c r="N282">
        <v>84</v>
      </c>
      <c r="O282">
        <v>4</v>
      </c>
      <c r="P282">
        <v>15</v>
      </c>
      <c r="Q282" t="s">
        <v>24</v>
      </c>
      <c r="R282" t="s">
        <v>25</v>
      </c>
    </row>
    <row r="283" spans="1:18" x14ac:dyDescent="0.25">
      <c r="A283">
        <v>1282</v>
      </c>
      <c r="B283" t="s">
        <v>621</v>
      </c>
      <c r="C283" t="s">
        <v>32</v>
      </c>
      <c r="D283" t="s">
        <v>106</v>
      </c>
      <c r="E283" t="s">
        <v>128</v>
      </c>
      <c r="F283" t="s">
        <v>40</v>
      </c>
      <c r="G283">
        <v>3.5</v>
      </c>
      <c r="H283">
        <v>58324</v>
      </c>
      <c r="I283" t="s">
        <v>622</v>
      </c>
      <c r="J283">
        <v>90.3</v>
      </c>
      <c r="K283">
        <v>28.2</v>
      </c>
      <c r="L283">
        <v>83.3</v>
      </c>
      <c r="M283">
        <v>131</v>
      </c>
      <c r="N283">
        <v>108</v>
      </c>
      <c r="O283">
        <v>4</v>
      </c>
      <c r="P283">
        <v>18</v>
      </c>
      <c r="Q283" t="s">
        <v>37</v>
      </c>
      <c r="R283" t="s">
        <v>25</v>
      </c>
    </row>
    <row r="284" spans="1:18" x14ac:dyDescent="0.25">
      <c r="A284">
        <v>1283</v>
      </c>
      <c r="B284" t="s">
        <v>623</v>
      </c>
      <c r="C284" t="s">
        <v>32</v>
      </c>
      <c r="D284" t="s">
        <v>106</v>
      </c>
      <c r="E284" t="s">
        <v>34</v>
      </c>
      <c r="F284" t="s">
        <v>35</v>
      </c>
      <c r="G284">
        <v>4</v>
      </c>
      <c r="H284">
        <v>51774</v>
      </c>
      <c r="I284" t="s">
        <v>624</v>
      </c>
      <c r="J284">
        <v>100</v>
      </c>
      <c r="K284">
        <v>21.4</v>
      </c>
      <c r="L284">
        <v>86.5</v>
      </c>
      <c r="M284">
        <v>112</v>
      </c>
      <c r="N284">
        <v>93</v>
      </c>
      <c r="O284">
        <v>5</v>
      </c>
      <c r="P284">
        <v>17</v>
      </c>
      <c r="Q284" t="s">
        <v>42</v>
      </c>
      <c r="R284" t="s">
        <v>25</v>
      </c>
    </row>
    <row r="285" spans="1:18" x14ac:dyDescent="0.25">
      <c r="A285">
        <v>1284</v>
      </c>
      <c r="B285" t="s">
        <v>625</v>
      </c>
      <c r="C285" t="s">
        <v>32</v>
      </c>
      <c r="D285" t="s">
        <v>67</v>
      </c>
      <c r="E285" t="s">
        <v>34</v>
      </c>
      <c r="F285" t="s">
        <v>103</v>
      </c>
      <c r="G285">
        <v>4.5</v>
      </c>
      <c r="H285">
        <v>64089</v>
      </c>
      <c r="I285" t="s">
        <v>626</v>
      </c>
      <c r="J285">
        <v>91.1</v>
      </c>
      <c r="K285">
        <v>24.9</v>
      </c>
      <c r="L285">
        <v>74.2</v>
      </c>
      <c r="M285">
        <v>117</v>
      </c>
      <c r="N285">
        <v>76</v>
      </c>
      <c r="O285">
        <v>0</v>
      </c>
      <c r="P285">
        <v>8</v>
      </c>
      <c r="Q285" t="s">
        <v>24</v>
      </c>
      <c r="R285" t="s">
        <v>57</v>
      </c>
    </row>
    <row r="286" spans="1:18" x14ac:dyDescent="0.25">
      <c r="A286">
        <v>1285</v>
      </c>
      <c r="B286" t="s">
        <v>627</v>
      </c>
      <c r="C286" t="s">
        <v>32</v>
      </c>
      <c r="D286" t="s">
        <v>106</v>
      </c>
      <c r="E286" t="s">
        <v>94</v>
      </c>
      <c r="F286" t="s">
        <v>76</v>
      </c>
      <c r="G286">
        <v>7.7</v>
      </c>
      <c r="H286">
        <v>79396</v>
      </c>
      <c r="I286" t="s">
        <v>628</v>
      </c>
      <c r="J286">
        <v>91.9</v>
      </c>
      <c r="K286">
        <v>18.399999999999999</v>
      </c>
      <c r="L286">
        <v>80.400000000000006</v>
      </c>
      <c r="M286">
        <v>107</v>
      </c>
      <c r="N286">
        <v>85</v>
      </c>
      <c r="O286">
        <v>5</v>
      </c>
      <c r="P286">
        <v>16</v>
      </c>
      <c r="Q286" t="s">
        <v>24</v>
      </c>
      <c r="R286" t="s">
        <v>25</v>
      </c>
    </row>
    <row r="287" spans="1:18" x14ac:dyDescent="0.25">
      <c r="A287">
        <v>1286</v>
      </c>
      <c r="B287" t="s">
        <v>629</v>
      </c>
      <c r="C287" t="s">
        <v>89</v>
      </c>
      <c r="D287" t="s">
        <v>90</v>
      </c>
      <c r="E287" t="s">
        <v>111</v>
      </c>
      <c r="F287" t="s">
        <v>40</v>
      </c>
      <c r="G287">
        <v>5.6</v>
      </c>
      <c r="H287">
        <v>68459</v>
      </c>
      <c r="I287" t="s">
        <v>630</v>
      </c>
      <c r="J287">
        <v>96.6</v>
      </c>
      <c r="K287">
        <v>17.899999999999999</v>
      </c>
      <c r="L287">
        <v>90.9</v>
      </c>
      <c r="M287">
        <v>101</v>
      </c>
      <c r="N287">
        <v>100</v>
      </c>
      <c r="O287">
        <v>0</v>
      </c>
      <c r="P287">
        <v>18</v>
      </c>
      <c r="Q287" t="s">
        <v>24</v>
      </c>
      <c r="R287" t="s">
        <v>62</v>
      </c>
    </row>
    <row r="288" spans="1:18" x14ac:dyDescent="0.25">
      <c r="A288">
        <v>1287</v>
      </c>
      <c r="B288" t="s">
        <v>631</v>
      </c>
      <c r="C288" t="s">
        <v>44</v>
      </c>
      <c r="D288" t="s">
        <v>70</v>
      </c>
      <c r="E288" t="s">
        <v>55</v>
      </c>
      <c r="F288" t="s">
        <v>40</v>
      </c>
      <c r="G288">
        <v>4.5</v>
      </c>
      <c r="H288">
        <v>68890</v>
      </c>
      <c r="I288" t="s">
        <v>632</v>
      </c>
      <c r="J288">
        <v>94.1</v>
      </c>
      <c r="K288">
        <v>22.8</v>
      </c>
      <c r="L288">
        <v>77.5</v>
      </c>
      <c r="M288">
        <v>74</v>
      </c>
      <c r="N288">
        <v>48</v>
      </c>
      <c r="O288">
        <v>4</v>
      </c>
      <c r="P288">
        <v>12</v>
      </c>
      <c r="Q288" t="s">
        <v>37</v>
      </c>
      <c r="R288" t="s">
        <v>57</v>
      </c>
    </row>
    <row r="289" spans="1:18" x14ac:dyDescent="0.25">
      <c r="A289">
        <v>1288</v>
      </c>
      <c r="B289" t="s">
        <v>633</v>
      </c>
      <c r="C289" t="s">
        <v>49</v>
      </c>
      <c r="D289" t="s">
        <v>59</v>
      </c>
      <c r="E289" t="s">
        <v>163</v>
      </c>
      <c r="F289" t="s">
        <v>86</v>
      </c>
      <c r="G289">
        <v>6.8</v>
      </c>
      <c r="H289">
        <v>90883</v>
      </c>
      <c r="I289" t="s">
        <v>634</v>
      </c>
      <c r="J289">
        <v>96.6</v>
      </c>
      <c r="K289">
        <v>4.5</v>
      </c>
      <c r="L289">
        <v>75.5</v>
      </c>
      <c r="M289">
        <v>73</v>
      </c>
      <c r="N289">
        <v>44</v>
      </c>
      <c r="O289">
        <v>6</v>
      </c>
      <c r="P289">
        <v>11</v>
      </c>
      <c r="Q289" t="s">
        <v>24</v>
      </c>
      <c r="R289" t="s">
        <v>57</v>
      </c>
    </row>
    <row r="290" spans="1:18" x14ac:dyDescent="0.25">
      <c r="A290">
        <v>1289</v>
      </c>
      <c r="B290" t="s">
        <v>635</v>
      </c>
      <c r="C290" t="s">
        <v>32</v>
      </c>
      <c r="D290" t="s">
        <v>106</v>
      </c>
      <c r="E290" t="s">
        <v>34</v>
      </c>
      <c r="F290" t="s">
        <v>76</v>
      </c>
      <c r="G290">
        <v>4.5999999999999996</v>
      </c>
      <c r="H290">
        <v>75048</v>
      </c>
      <c r="I290" t="s">
        <v>636</v>
      </c>
      <c r="J290">
        <v>93.9</v>
      </c>
      <c r="K290">
        <v>25.4</v>
      </c>
      <c r="L290">
        <v>89.5</v>
      </c>
      <c r="M290">
        <v>118</v>
      </c>
      <c r="N290">
        <v>103</v>
      </c>
      <c r="O290">
        <v>0</v>
      </c>
      <c r="P290">
        <v>22</v>
      </c>
      <c r="Q290" t="s">
        <v>24</v>
      </c>
      <c r="R290" t="s">
        <v>25</v>
      </c>
    </row>
    <row r="291" spans="1:18" x14ac:dyDescent="0.25">
      <c r="A291">
        <v>1290</v>
      </c>
      <c r="B291" t="s">
        <v>637</v>
      </c>
      <c r="C291" t="s">
        <v>32</v>
      </c>
      <c r="D291" t="s">
        <v>67</v>
      </c>
      <c r="E291" t="s">
        <v>128</v>
      </c>
      <c r="F291" t="s">
        <v>22</v>
      </c>
      <c r="G291">
        <v>0.2</v>
      </c>
      <c r="H291">
        <v>36774</v>
      </c>
      <c r="I291" t="s">
        <v>638</v>
      </c>
      <c r="J291">
        <v>87.3</v>
      </c>
      <c r="K291">
        <v>21.1</v>
      </c>
      <c r="L291">
        <v>83.1</v>
      </c>
      <c r="M291">
        <v>94</v>
      </c>
      <c r="N291">
        <v>86</v>
      </c>
      <c r="O291">
        <v>5</v>
      </c>
      <c r="P291">
        <v>12</v>
      </c>
      <c r="Q291" t="s">
        <v>24</v>
      </c>
      <c r="R291" t="s">
        <v>25</v>
      </c>
    </row>
    <row r="292" spans="1:18" x14ac:dyDescent="0.25">
      <c r="A292">
        <v>1291</v>
      </c>
      <c r="B292" t="s">
        <v>639</v>
      </c>
      <c r="C292" t="s">
        <v>89</v>
      </c>
      <c r="D292" t="s">
        <v>90</v>
      </c>
      <c r="E292" t="s">
        <v>91</v>
      </c>
      <c r="F292" t="s">
        <v>86</v>
      </c>
      <c r="G292">
        <v>3.4</v>
      </c>
      <c r="H292">
        <v>67308</v>
      </c>
      <c r="I292" t="s">
        <v>640</v>
      </c>
      <c r="J292">
        <v>90.9</v>
      </c>
      <c r="K292">
        <v>15.2</v>
      </c>
      <c r="L292">
        <v>88.7</v>
      </c>
      <c r="M292">
        <v>94</v>
      </c>
      <c r="N292">
        <v>90</v>
      </c>
      <c r="O292">
        <v>1</v>
      </c>
      <c r="P292">
        <v>20</v>
      </c>
      <c r="Q292" t="s">
        <v>42</v>
      </c>
      <c r="R292" t="s">
        <v>25</v>
      </c>
    </row>
    <row r="293" spans="1:18" x14ac:dyDescent="0.25">
      <c r="A293">
        <v>1292</v>
      </c>
      <c r="B293" t="s">
        <v>641</v>
      </c>
      <c r="C293" t="s">
        <v>19</v>
      </c>
      <c r="D293" t="s">
        <v>137</v>
      </c>
      <c r="E293" t="s">
        <v>21</v>
      </c>
      <c r="F293" t="s">
        <v>40</v>
      </c>
      <c r="G293">
        <v>6.6</v>
      </c>
      <c r="H293">
        <v>79032</v>
      </c>
      <c r="I293" t="s">
        <v>642</v>
      </c>
      <c r="J293">
        <v>90.6</v>
      </c>
      <c r="K293">
        <v>18.3</v>
      </c>
      <c r="L293">
        <v>81.5</v>
      </c>
      <c r="M293">
        <v>66</v>
      </c>
      <c r="N293">
        <v>53</v>
      </c>
      <c r="O293">
        <v>0</v>
      </c>
      <c r="P293">
        <v>6</v>
      </c>
      <c r="Q293" t="s">
        <v>24</v>
      </c>
      <c r="R293" t="s">
        <v>25</v>
      </c>
    </row>
    <row r="294" spans="1:18" x14ac:dyDescent="0.25">
      <c r="A294">
        <v>1293</v>
      </c>
      <c r="B294" t="s">
        <v>643</v>
      </c>
      <c r="C294" t="s">
        <v>32</v>
      </c>
      <c r="D294" t="s">
        <v>33</v>
      </c>
      <c r="E294" t="s">
        <v>34</v>
      </c>
      <c r="F294" t="s">
        <v>86</v>
      </c>
      <c r="G294">
        <v>3.1</v>
      </c>
      <c r="H294">
        <v>60642</v>
      </c>
      <c r="I294" t="s">
        <v>644</v>
      </c>
      <c r="J294">
        <v>93.4</v>
      </c>
      <c r="K294">
        <v>18.2</v>
      </c>
      <c r="L294">
        <v>87.6</v>
      </c>
      <c r="M294">
        <v>94</v>
      </c>
      <c r="N294">
        <v>87</v>
      </c>
      <c r="O294">
        <v>3</v>
      </c>
      <c r="P294">
        <v>23</v>
      </c>
      <c r="Q294" t="s">
        <v>24</v>
      </c>
      <c r="R294" t="s">
        <v>25</v>
      </c>
    </row>
    <row r="295" spans="1:18" x14ac:dyDescent="0.25">
      <c r="A295">
        <v>1294</v>
      </c>
      <c r="B295" t="s">
        <v>645</v>
      </c>
      <c r="C295" t="s">
        <v>44</v>
      </c>
      <c r="D295" t="s">
        <v>45</v>
      </c>
      <c r="E295" t="s">
        <v>55</v>
      </c>
      <c r="F295" t="s">
        <v>22</v>
      </c>
      <c r="G295">
        <v>6.5</v>
      </c>
      <c r="H295">
        <v>84812</v>
      </c>
      <c r="I295" t="s">
        <v>646</v>
      </c>
      <c r="J295">
        <v>93.7</v>
      </c>
      <c r="K295">
        <v>22.1</v>
      </c>
      <c r="L295">
        <v>73.8</v>
      </c>
      <c r="M295">
        <v>119</v>
      </c>
      <c r="N295">
        <v>87</v>
      </c>
      <c r="O295">
        <v>0</v>
      </c>
      <c r="P295">
        <v>14</v>
      </c>
      <c r="Q295" t="s">
        <v>37</v>
      </c>
      <c r="R295" t="s">
        <v>57</v>
      </c>
    </row>
    <row r="296" spans="1:18" x14ac:dyDescent="0.25">
      <c r="A296">
        <v>1295</v>
      </c>
      <c r="B296" t="s">
        <v>647</v>
      </c>
      <c r="C296" t="s">
        <v>32</v>
      </c>
      <c r="D296" t="s">
        <v>33</v>
      </c>
      <c r="E296" t="s">
        <v>94</v>
      </c>
      <c r="F296" t="s">
        <v>76</v>
      </c>
      <c r="G296">
        <v>6.4</v>
      </c>
      <c r="H296">
        <v>81742</v>
      </c>
      <c r="I296" t="s">
        <v>648</v>
      </c>
      <c r="J296">
        <v>96.9</v>
      </c>
      <c r="K296">
        <v>20.7</v>
      </c>
      <c r="L296">
        <v>83.3</v>
      </c>
      <c r="M296">
        <v>78</v>
      </c>
      <c r="N296">
        <v>60</v>
      </c>
      <c r="O296">
        <v>3</v>
      </c>
      <c r="P296">
        <v>16</v>
      </c>
      <c r="Q296" t="s">
        <v>24</v>
      </c>
      <c r="R296" t="s">
        <v>25</v>
      </c>
    </row>
    <row r="297" spans="1:18" x14ac:dyDescent="0.25">
      <c r="A297">
        <v>1296</v>
      </c>
      <c r="B297" t="s">
        <v>649</v>
      </c>
      <c r="C297" t="s">
        <v>89</v>
      </c>
      <c r="D297" t="s">
        <v>90</v>
      </c>
      <c r="E297" t="s">
        <v>91</v>
      </c>
      <c r="F297" t="s">
        <v>35</v>
      </c>
      <c r="G297">
        <v>2.5</v>
      </c>
      <c r="H297">
        <v>46534</v>
      </c>
      <c r="I297" t="s">
        <v>650</v>
      </c>
      <c r="J297">
        <v>86</v>
      </c>
      <c r="K297">
        <v>18.899999999999999</v>
      </c>
      <c r="L297">
        <v>88.7</v>
      </c>
      <c r="M297">
        <v>70</v>
      </c>
      <c r="N297">
        <v>57</v>
      </c>
      <c r="O297">
        <v>4</v>
      </c>
      <c r="P297">
        <v>22</v>
      </c>
      <c r="Q297" t="s">
        <v>42</v>
      </c>
      <c r="R297" t="s">
        <v>25</v>
      </c>
    </row>
    <row r="298" spans="1:18" x14ac:dyDescent="0.25">
      <c r="A298">
        <v>1297</v>
      </c>
      <c r="B298" t="s">
        <v>651</v>
      </c>
      <c r="C298" t="s">
        <v>27</v>
      </c>
      <c r="D298" t="s">
        <v>28</v>
      </c>
      <c r="E298" t="s">
        <v>29</v>
      </c>
      <c r="F298" t="s">
        <v>35</v>
      </c>
      <c r="G298">
        <v>2.4</v>
      </c>
      <c r="H298">
        <v>51460</v>
      </c>
      <c r="I298" t="s">
        <v>441</v>
      </c>
      <c r="J298">
        <v>93.3</v>
      </c>
      <c r="K298">
        <v>10.9</v>
      </c>
      <c r="L298">
        <v>85.2</v>
      </c>
      <c r="M298">
        <v>74</v>
      </c>
      <c r="N298">
        <v>58</v>
      </c>
      <c r="O298">
        <v>1</v>
      </c>
      <c r="P298">
        <v>5</v>
      </c>
      <c r="Q298" t="s">
        <v>24</v>
      </c>
      <c r="R298" t="s">
        <v>25</v>
      </c>
    </row>
    <row r="299" spans="1:18" x14ac:dyDescent="0.25">
      <c r="A299">
        <v>1298</v>
      </c>
      <c r="B299" t="s">
        <v>652</v>
      </c>
      <c r="C299" t="s">
        <v>49</v>
      </c>
      <c r="D299" t="s">
        <v>50</v>
      </c>
      <c r="E299" t="s">
        <v>163</v>
      </c>
      <c r="F299" t="s">
        <v>86</v>
      </c>
      <c r="G299">
        <v>1.2</v>
      </c>
      <c r="H299">
        <v>42536</v>
      </c>
      <c r="I299" t="s">
        <v>653</v>
      </c>
      <c r="J299">
        <v>89.7</v>
      </c>
      <c r="K299">
        <v>3.5</v>
      </c>
      <c r="L299">
        <v>92.4</v>
      </c>
      <c r="M299">
        <v>52</v>
      </c>
      <c r="N299">
        <v>48</v>
      </c>
      <c r="O299">
        <v>0</v>
      </c>
      <c r="P299">
        <v>12</v>
      </c>
      <c r="Q299" t="s">
        <v>42</v>
      </c>
      <c r="R299" t="s">
        <v>62</v>
      </c>
    </row>
    <row r="300" spans="1:18" x14ac:dyDescent="0.25">
      <c r="A300">
        <v>1299</v>
      </c>
      <c r="B300" t="s">
        <v>654</v>
      </c>
      <c r="C300" t="s">
        <v>32</v>
      </c>
      <c r="D300" t="s">
        <v>67</v>
      </c>
      <c r="E300" t="s">
        <v>34</v>
      </c>
      <c r="F300" t="s">
        <v>40</v>
      </c>
      <c r="G300">
        <v>5.9</v>
      </c>
      <c r="H300">
        <v>84929</v>
      </c>
      <c r="I300" t="s">
        <v>293</v>
      </c>
      <c r="J300">
        <v>92.3</v>
      </c>
      <c r="K300">
        <v>24.1</v>
      </c>
      <c r="L300">
        <v>82.1</v>
      </c>
      <c r="M300">
        <v>101</v>
      </c>
      <c r="N300">
        <v>77</v>
      </c>
      <c r="O300">
        <v>3</v>
      </c>
      <c r="P300">
        <v>9</v>
      </c>
      <c r="Q300" t="s">
        <v>37</v>
      </c>
      <c r="R300" t="s">
        <v>25</v>
      </c>
    </row>
    <row r="301" spans="1:18" x14ac:dyDescent="0.25">
      <c r="A301">
        <v>1300</v>
      </c>
      <c r="B301" t="s">
        <v>655</v>
      </c>
      <c r="C301" t="s">
        <v>44</v>
      </c>
      <c r="D301" t="s">
        <v>70</v>
      </c>
      <c r="E301" t="s">
        <v>55</v>
      </c>
      <c r="F301" t="s">
        <v>40</v>
      </c>
      <c r="G301">
        <v>5.9</v>
      </c>
      <c r="H301">
        <v>72188</v>
      </c>
      <c r="I301" t="s">
        <v>656</v>
      </c>
      <c r="J301">
        <v>92.4</v>
      </c>
      <c r="K301">
        <v>34.700000000000003</v>
      </c>
      <c r="L301">
        <v>81.3</v>
      </c>
      <c r="M301">
        <v>109</v>
      </c>
      <c r="N301">
        <v>88</v>
      </c>
      <c r="O301">
        <v>1</v>
      </c>
      <c r="P301">
        <v>16</v>
      </c>
      <c r="Q301" t="s">
        <v>37</v>
      </c>
      <c r="R301" t="s">
        <v>25</v>
      </c>
    </row>
    <row r="302" spans="1:18" x14ac:dyDescent="0.25">
      <c r="A302">
        <v>1301</v>
      </c>
      <c r="B302" t="s">
        <v>657</v>
      </c>
      <c r="C302" t="s">
        <v>89</v>
      </c>
      <c r="D302" t="s">
        <v>121</v>
      </c>
      <c r="E302" t="s">
        <v>152</v>
      </c>
      <c r="F302" t="s">
        <v>103</v>
      </c>
      <c r="G302">
        <v>5.5</v>
      </c>
      <c r="H302">
        <v>77106</v>
      </c>
      <c r="I302" t="s">
        <v>658</v>
      </c>
      <c r="J302">
        <v>89.9</v>
      </c>
      <c r="K302">
        <v>26.1</v>
      </c>
      <c r="L302">
        <v>84.2</v>
      </c>
      <c r="M302">
        <v>98</v>
      </c>
      <c r="N302">
        <v>79</v>
      </c>
      <c r="O302">
        <v>7</v>
      </c>
      <c r="P302">
        <v>18</v>
      </c>
      <c r="Q302" t="s">
        <v>24</v>
      </c>
      <c r="R302" t="s">
        <v>25</v>
      </c>
    </row>
    <row r="303" spans="1:18" x14ac:dyDescent="0.25">
      <c r="A303">
        <v>1302</v>
      </c>
      <c r="B303" t="s">
        <v>659</v>
      </c>
      <c r="C303" t="s">
        <v>27</v>
      </c>
      <c r="D303" t="s">
        <v>64</v>
      </c>
      <c r="E303" t="s">
        <v>118</v>
      </c>
      <c r="F303" t="s">
        <v>22</v>
      </c>
      <c r="G303">
        <v>7</v>
      </c>
      <c r="H303">
        <v>84073</v>
      </c>
      <c r="I303" t="s">
        <v>660</v>
      </c>
      <c r="J303">
        <v>94.3</v>
      </c>
      <c r="K303">
        <v>9.8000000000000007</v>
      </c>
      <c r="L303">
        <v>95</v>
      </c>
      <c r="M303">
        <v>73</v>
      </c>
      <c r="N303">
        <v>68</v>
      </c>
      <c r="O303">
        <v>5</v>
      </c>
      <c r="P303">
        <v>14</v>
      </c>
      <c r="Q303" t="s">
        <v>42</v>
      </c>
      <c r="R303" t="s">
        <v>62</v>
      </c>
    </row>
    <row r="304" spans="1:18" x14ac:dyDescent="0.25">
      <c r="A304">
        <v>1303</v>
      </c>
      <c r="B304" t="s">
        <v>661</v>
      </c>
      <c r="C304" t="s">
        <v>32</v>
      </c>
      <c r="D304" t="s">
        <v>67</v>
      </c>
      <c r="E304" t="s">
        <v>34</v>
      </c>
      <c r="F304" t="s">
        <v>76</v>
      </c>
      <c r="G304">
        <v>2.4</v>
      </c>
      <c r="H304">
        <v>43745</v>
      </c>
      <c r="I304" t="s">
        <v>662</v>
      </c>
      <c r="J304">
        <v>95.8</v>
      </c>
      <c r="K304">
        <v>14.6</v>
      </c>
      <c r="L304">
        <v>87.4</v>
      </c>
      <c r="M304">
        <v>85</v>
      </c>
      <c r="N304">
        <v>77</v>
      </c>
      <c r="O304">
        <v>0</v>
      </c>
      <c r="P304">
        <v>11</v>
      </c>
      <c r="Q304" t="s">
        <v>24</v>
      </c>
      <c r="R304" t="s">
        <v>25</v>
      </c>
    </row>
    <row r="305" spans="1:18" x14ac:dyDescent="0.25">
      <c r="A305">
        <v>1304</v>
      </c>
      <c r="B305" t="s">
        <v>663</v>
      </c>
      <c r="C305" t="s">
        <v>27</v>
      </c>
      <c r="D305" t="s">
        <v>28</v>
      </c>
      <c r="E305" t="s">
        <v>118</v>
      </c>
      <c r="F305" t="s">
        <v>103</v>
      </c>
      <c r="G305">
        <v>1.1000000000000001</v>
      </c>
      <c r="H305">
        <v>41483</v>
      </c>
      <c r="I305" t="s">
        <v>23</v>
      </c>
      <c r="J305">
        <v>98.1</v>
      </c>
      <c r="K305">
        <v>15.4</v>
      </c>
      <c r="L305">
        <v>85.6</v>
      </c>
      <c r="M305">
        <v>78</v>
      </c>
      <c r="N305">
        <v>65</v>
      </c>
      <c r="O305">
        <v>0</v>
      </c>
      <c r="P305">
        <v>3</v>
      </c>
      <c r="Q305" t="s">
        <v>42</v>
      </c>
      <c r="R305" t="s">
        <v>25</v>
      </c>
    </row>
    <row r="306" spans="1:18" x14ac:dyDescent="0.25">
      <c r="A306">
        <v>1305</v>
      </c>
      <c r="B306" t="s">
        <v>664</v>
      </c>
      <c r="C306" t="s">
        <v>27</v>
      </c>
      <c r="D306" t="s">
        <v>64</v>
      </c>
      <c r="E306" t="s">
        <v>118</v>
      </c>
      <c r="F306" t="s">
        <v>40</v>
      </c>
      <c r="G306">
        <v>6.4</v>
      </c>
      <c r="H306">
        <v>62506</v>
      </c>
      <c r="I306" t="s">
        <v>665</v>
      </c>
      <c r="J306">
        <v>90.3</v>
      </c>
      <c r="K306">
        <v>2.2000000000000002</v>
      </c>
      <c r="L306">
        <v>81</v>
      </c>
      <c r="M306">
        <v>98</v>
      </c>
      <c r="N306">
        <v>85</v>
      </c>
      <c r="O306">
        <v>1</v>
      </c>
      <c r="P306">
        <v>8</v>
      </c>
      <c r="Q306" t="s">
        <v>24</v>
      </c>
      <c r="R306" t="s">
        <v>25</v>
      </c>
    </row>
    <row r="307" spans="1:18" x14ac:dyDescent="0.25">
      <c r="A307">
        <v>1306</v>
      </c>
      <c r="B307" t="s">
        <v>666</v>
      </c>
      <c r="C307" t="s">
        <v>44</v>
      </c>
      <c r="D307" t="s">
        <v>45</v>
      </c>
      <c r="E307" t="s">
        <v>97</v>
      </c>
      <c r="F307" t="s">
        <v>103</v>
      </c>
      <c r="G307">
        <v>2.4</v>
      </c>
      <c r="H307">
        <v>44825</v>
      </c>
      <c r="I307" t="s">
        <v>667</v>
      </c>
      <c r="J307">
        <v>92</v>
      </c>
      <c r="K307">
        <v>23.6</v>
      </c>
      <c r="L307">
        <v>90.2</v>
      </c>
      <c r="M307">
        <v>89</v>
      </c>
      <c r="N307">
        <v>74</v>
      </c>
      <c r="O307">
        <v>1</v>
      </c>
      <c r="P307">
        <v>18</v>
      </c>
      <c r="Q307" t="s">
        <v>24</v>
      </c>
      <c r="R307" t="s">
        <v>62</v>
      </c>
    </row>
    <row r="308" spans="1:18" x14ac:dyDescent="0.25">
      <c r="A308">
        <v>1307</v>
      </c>
      <c r="B308" t="s">
        <v>668</v>
      </c>
      <c r="C308" t="s">
        <v>89</v>
      </c>
      <c r="D308" t="s">
        <v>90</v>
      </c>
      <c r="E308" t="s">
        <v>152</v>
      </c>
      <c r="F308" t="s">
        <v>40</v>
      </c>
      <c r="G308">
        <v>6.1</v>
      </c>
      <c r="H308">
        <v>76307</v>
      </c>
      <c r="I308" t="s">
        <v>669</v>
      </c>
      <c r="J308">
        <v>96.7</v>
      </c>
      <c r="K308">
        <v>13.9</v>
      </c>
      <c r="L308">
        <v>85.6</v>
      </c>
      <c r="M308">
        <v>71</v>
      </c>
      <c r="N308">
        <v>60</v>
      </c>
      <c r="O308">
        <v>3</v>
      </c>
      <c r="P308">
        <v>25</v>
      </c>
      <c r="Q308" t="s">
        <v>42</v>
      </c>
      <c r="R308" t="s">
        <v>25</v>
      </c>
    </row>
    <row r="309" spans="1:18" x14ac:dyDescent="0.25">
      <c r="A309">
        <v>1308</v>
      </c>
      <c r="B309" t="s">
        <v>670</v>
      </c>
      <c r="C309" t="s">
        <v>44</v>
      </c>
      <c r="D309" t="s">
        <v>70</v>
      </c>
      <c r="E309" t="s">
        <v>97</v>
      </c>
      <c r="F309" t="s">
        <v>103</v>
      </c>
      <c r="G309">
        <v>7.8</v>
      </c>
      <c r="H309">
        <v>83052</v>
      </c>
      <c r="I309" t="s">
        <v>671</v>
      </c>
      <c r="J309">
        <v>89.9</v>
      </c>
      <c r="K309">
        <v>19.5</v>
      </c>
      <c r="L309">
        <v>67.400000000000006</v>
      </c>
      <c r="M309">
        <v>85</v>
      </c>
      <c r="N309">
        <v>52</v>
      </c>
      <c r="O309">
        <v>8</v>
      </c>
      <c r="P309">
        <v>17</v>
      </c>
      <c r="Q309" t="s">
        <v>24</v>
      </c>
      <c r="R309" t="s">
        <v>203</v>
      </c>
    </row>
    <row r="310" spans="1:18" x14ac:dyDescent="0.25">
      <c r="A310">
        <v>1309</v>
      </c>
      <c r="B310" t="s">
        <v>672</v>
      </c>
      <c r="C310" t="s">
        <v>19</v>
      </c>
      <c r="D310" t="s">
        <v>81</v>
      </c>
      <c r="E310" t="s">
        <v>82</v>
      </c>
      <c r="F310" t="s">
        <v>76</v>
      </c>
      <c r="G310">
        <v>6</v>
      </c>
      <c r="H310">
        <v>78203</v>
      </c>
      <c r="I310" t="s">
        <v>281</v>
      </c>
      <c r="J310">
        <v>90</v>
      </c>
      <c r="K310">
        <v>23.4</v>
      </c>
      <c r="L310">
        <v>85.2</v>
      </c>
      <c r="M310">
        <v>109</v>
      </c>
      <c r="N310">
        <v>94</v>
      </c>
      <c r="O310">
        <v>0</v>
      </c>
      <c r="P310">
        <v>14</v>
      </c>
      <c r="Q310" t="s">
        <v>37</v>
      </c>
      <c r="R310" t="s">
        <v>25</v>
      </c>
    </row>
    <row r="311" spans="1:18" x14ac:dyDescent="0.25">
      <c r="A311">
        <v>1310</v>
      </c>
      <c r="B311" t="s">
        <v>673</v>
      </c>
      <c r="C311" t="s">
        <v>89</v>
      </c>
      <c r="D311" t="s">
        <v>121</v>
      </c>
      <c r="E311" t="s">
        <v>91</v>
      </c>
      <c r="F311" t="s">
        <v>76</v>
      </c>
      <c r="G311">
        <v>8.1999999999999993</v>
      </c>
      <c r="H311">
        <v>87220</v>
      </c>
      <c r="I311" t="s">
        <v>674</v>
      </c>
      <c r="J311">
        <v>86.5</v>
      </c>
      <c r="K311">
        <v>15.2</v>
      </c>
      <c r="L311">
        <v>93.2</v>
      </c>
      <c r="M311">
        <v>82</v>
      </c>
      <c r="N311">
        <v>69</v>
      </c>
      <c r="O311">
        <v>0</v>
      </c>
      <c r="P311">
        <v>14</v>
      </c>
      <c r="Q311" t="s">
        <v>24</v>
      </c>
      <c r="R311" t="s">
        <v>62</v>
      </c>
    </row>
    <row r="312" spans="1:18" x14ac:dyDescent="0.25">
      <c r="A312">
        <v>1311</v>
      </c>
      <c r="B312" t="s">
        <v>675</v>
      </c>
      <c r="C312" t="s">
        <v>89</v>
      </c>
      <c r="D312" t="s">
        <v>90</v>
      </c>
      <c r="E312" t="s">
        <v>152</v>
      </c>
      <c r="F312" t="s">
        <v>103</v>
      </c>
      <c r="G312">
        <v>10.3</v>
      </c>
      <c r="H312">
        <v>108809</v>
      </c>
      <c r="I312" t="s">
        <v>676</v>
      </c>
      <c r="J312">
        <v>85.9</v>
      </c>
      <c r="K312">
        <v>22.3</v>
      </c>
      <c r="L312">
        <v>86.9</v>
      </c>
      <c r="M312">
        <v>77</v>
      </c>
      <c r="N312">
        <v>66</v>
      </c>
      <c r="O312">
        <v>3</v>
      </c>
      <c r="P312">
        <v>20</v>
      </c>
      <c r="Q312" t="s">
        <v>24</v>
      </c>
      <c r="R312" t="s">
        <v>25</v>
      </c>
    </row>
    <row r="313" spans="1:18" x14ac:dyDescent="0.25">
      <c r="A313">
        <v>1312</v>
      </c>
      <c r="B313" t="s">
        <v>677</v>
      </c>
      <c r="C313" t="s">
        <v>27</v>
      </c>
      <c r="D313" t="s">
        <v>28</v>
      </c>
      <c r="E313" t="s">
        <v>85</v>
      </c>
      <c r="F313" t="s">
        <v>22</v>
      </c>
      <c r="G313">
        <v>6.7</v>
      </c>
      <c r="H313">
        <v>77927</v>
      </c>
      <c r="I313" t="s">
        <v>678</v>
      </c>
      <c r="J313">
        <v>97.7</v>
      </c>
      <c r="K313">
        <v>14.2</v>
      </c>
      <c r="L313">
        <v>97.9</v>
      </c>
      <c r="M313">
        <v>77</v>
      </c>
      <c r="N313">
        <v>73</v>
      </c>
      <c r="O313">
        <v>1</v>
      </c>
      <c r="P313">
        <v>14</v>
      </c>
      <c r="Q313" t="s">
        <v>42</v>
      </c>
      <c r="R313" t="s">
        <v>62</v>
      </c>
    </row>
    <row r="314" spans="1:18" x14ac:dyDescent="0.25">
      <c r="A314">
        <v>1313</v>
      </c>
      <c r="B314" t="s">
        <v>679</v>
      </c>
      <c r="C314" t="s">
        <v>49</v>
      </c>
      <c r="D314" t="s">
        <v>178</v>
      </c>
      <c r="E314" t="s">
        <v>60</v>
      </c>
      <c r="F314" t="s">
        <v>40</v>
      </c>
      <c r="G314">
        <v>5.4</v>
      </c>
      <c r="H314">
        <v>71174</v>
      </c>
      <c r="I314" t="s">
        <v>680</v>
      </c>
      <c r="J314">
        <v>98.9</v>
      </c>
      <c r="K314">
        <v>22.9</v>
      </c>
      <c r="L314">
        <v>83.9</v>
      </c>
      <c r="M314">
        <v>87</v>
      </c>
      <c r="N314">
        <v>78</v>
      </c>
      <c r="O314">
        <v>5</v>
      </c>
      <c r="P314">
        <v>13</v>
      </c>
      <c r="Q314" t="s">
        <v>24</v>
      </c>
      <c r="R314" t="s">
        <v>25</v>
      </c>
    </row>
    <row r="315" spans="1:18" x14ac:dyDescent="0.25">
      <c r="A315">
        <v>1314</v>
      </c>
      <c r="B315" t="s">
        <v>681</v>
      </c>
      <c r="C315" t="s">
        <v>89</v>
      </c>
      <c r="D315" t="s">
        <v>90</v>
      </c>
      <c r="E315" t="s">
        <v>111</v>
      </c>
      <c r="F315" t="s">
        <v>103</v>
      </c>
      <c r="G315">
        <v>3.2</v>
      </c>
      <c r="H315">
        <v>62328</v>
      </c>
      <c r="I315" t="s">
        <v>682</v>
      </c>
      <c r="J315">
        <v>92.1</v>
      </c>
      <c r="K315">
        <v>24.5</v>
      </c>
      <c r="L315">
        <v>90.4</v>
      </c>
      <c r="M315">
        <v>89</v>
      </c>
      <c r="N315">
        <v>81</v>
      </c>
      <c r="O315">
        <v>1</v>
      </c>
      <c r="P315">
        <v>20</v>
      </c>
      <c r="Q315" t="s">
        <v>42</v>
      </c>
      <c r="R315" t="s">
        <v>62</v>
      </c>
    </row>
    <row r="316" spans="1:18" x14ac:dyDescent="0.25">
      <c r="A316">
        <v>1315</v>
      </c>
      <c r="B316" t="s">
        <v>683</v>
      </c>
      <c r="C316" t="s">
        <v>89</v>
      </c>
      <c r="D316" t="s">
        <v>121</v>
      </c>
      <c r="E316" t="s">
        <v>91</v>
      </c>
      <c r="F316" t="s">
        <v>76</v>
      </c>
      <c r="G316">
        <v>7</v>
      </c>
      <c r="H316">
        <v>74897</v>
      </c>
      <c r="I316" t="s">
        <v>684</v>
      </c>
      <c r="J316">
        <v>92.9</v>
      </c>
      <c r="K316">
        <v>0.7</v>
      </c>
      <c r="L316">
        <v>88.6</v>
      </c>
      <c r="M316">
        <v>81</v>
      </c>
      <c r="N316">
        <v>72</v>
      </c>
      <c r="O316">
        <v>2</v>
      </c>
      <c r="P316">
        <v>14</v>
      </c>
      <c r="Q316" t="s">
        <v>42</v>
      </c>
      <c r="R316" t="s">
        <v>25</v>
      </c>
    </row>
    <row r="317" spans="1:18" x14ac:dyDescent="0.25">
      <c r="A317">
        <v>1316</v>
      </c>
      <c r="B317" t="s">
        <v>685</v>
      </c>
      <c r="C317" t="s">
        <v>44</v>
      </c>
      <c r="D317" t="s">
        <v>45</v>
      </c>
      <c r="E317" t="s">
        <v>97</v>
      </c>
      <c r="F317" t="s">
        <v>76</v>
      </c>
      <c r="G317">
        <v>3.3</v>
      </c>
      <c r="H317">
        <v>49004</v>
      </c>
      <c r="I317" t="s">
        <v>461</v>
      </c>
      <c r="J317">
        <v>94.5</v>
      </c>
      <c r="K317">
        <v>16.7</v>
      </c>
      <c r="L317">
        <v>70.400000000000006</v>
      </c>
      <c r="M317">
        <v>86</v>
      </c>
      <c r="N317">
        <v>63</v>
      </c>
      <c r="O317">
        <v>3</v>
      </c>
      <c r="P317">
        <v>21</v>
      </c>
      <c r="Q317" t="s">
        <v>37</v>
      </c>
      <c r="R317" t="s">
        <v>57</v>
      </c>
    </row>
    <row r="318" spans="1:18" x14ac:dyDescent="0.25">
      <c r="A318">
        <v>1317</v>
      </c>
      <c r="B318" t="s">
        <v>686</v>
      </c>
      <c r="C318" t="s">
        <v>44</v>
      </c>
      <c r="D318" t="s">
        <v>45</v>
      </c>
      <c r="E318" t="s">
        <v>55</v>
      </c>
      <c r="F318" t="s">
        <v>86</v>
      </c>
      <c r="G318">
        <v>5.4</v>
      </c>
      <c r="H318">
        <v>75327</v>
      </c>
      <c r="I318" t="s">
        <v>687</v>
      </c>
      <c r="J318">
        <v>90.6</v>
      </c>
      <c r="K318">
        <v>32.700000000000003</v>
      </c>
      <c r="L318">
        <v>73.2</v>
      </c>
      <c r="M318">
        <v>133</v>
      </c>
      <c r="N318">
        <v>101</v>
      </c>
      <c r="O318">
        <v>6</v>
      </c>
      <c r="P318">
        <v>19</v>
      </c>
      <c r="Q318" t="s">
        <v>37</v>
      </c>
      <c r="R318" t="s">
        <v>57</v>
      </c>
    </row>
    <row r="319" spans="1:18" x14ac:dyDescent="0.25">
      <c r="A319">
        <v>1318</v>
      </c>
      <c r="B319" t="s">
        <v>688</v>
      </c>
      <c r="C319" t="s">
        <v>19</v>
      </c>
      <c r="D319" t="s">
        <v>137</v>
      </c>
      <c r="E319" t="s">
        <v>21</v>
      </c>
      <c r="F319" t="s">
        <v>76</v>
      </c>
      <c r="G319">
        <v>1.5</v>
      </c>
      <c r="H319">
        <v>40262</v>
      </c>
      <c r="I319" t="s">
        <v>689</v>
      </c>
      <c r="J319">
        <v>96.9</v>
      </c>
      <c r="K319">
        <v>2.5</v>
      </c>
      <c r="L319">
        <v>80.2</v>
      </c>
      <c r="M319">
        <v>98</v>
      </c>
      <c r="N319">
        <v>75</v>
      </c>
      <c r="O319">
        <v>1</v>
      </c>
      <c r="P319">
        <v>2</v>
      </c>
      <c r="Q319" t="s">
        <v>37</v>
      </c>
      <c r="R319" t="s">
        <v>25</v>
      </c>
    </row>
    <row r="320" spans="1:18" x14ac:dyDescent="0.25">
      <c r="A320">
        <v>1319</v>
      </c>
      <c r="B320" t="s">
        <v>690</v>
      </c>
      <c r="C320" t="s">
        <v>44</v>
      </c>
      <c r="D320" t="s">
        <v>45</v>
      </c>
      <c r="E320" t="s">
        <v>97</v>
      </c>
      <c r="F320" t="s">
        <v>76</v>
      </c>
      <c r="G320">
        <v>4.5999999999999996</v>
      </c>
      <c r="H320">
        <v>70777</v>
      </c>
      <c r="I320" t="s">
        <v>691</v>
      </c>
      <c r="J320">
        <v>92.7</v>
      </c>
      <c r="K320">
        <v>18.3</v>
      </c>
      <c r="L320">
        <v>77.900000000000006</v>
      </c>
      <c r="M320">
        <v>102</v>
      </c>
      <c r="N320">
        <v>84</v>
      </c>
      <c r="O320">
        <v>6</v>
      </c>
      <c r="P320">
        <v>20</v>
      </c>
      <c r="Q320" t="s">
        <v>24</v>
      </c>
      <c r="R320" t="s">
        <v>57</v>
      </c>
    </row>
    <row r="321" spans="1:18" x14ac:dyDescent="0.25">
      <c r="A321">
        <v>1320</v>
      </c>
      <c r="B321" t="s">
        <v>692</v>
      </c>
      <c r="C321" t="s">
        <v>49</v>
      </c>
      <c r="D321" t="s">
        <v>59</v>
      </c>
      <c r="E321" t="s">
        <v>51</v>
      </c>
      <c r="F321" t="s">
        <v>103</v>
      </c>
      <c r="G321">
        <v>6.6</v>
      </c>
      <c r="H321">
        <v>79657</v>
      </c>
      <c r="I321" t="s">
        <v>693</v>
      </c>
      <c r="J321">
        <v>92</v>
      </c>
      <c r="K321">
        <v>3</v>
      </c>
      <c r="L321">
        <v>88.8</v>
      </c>
      <c r="M321">
        <v>90</v>
      </c>
      <c r="N321">
        <v>88</v>
      </c>
      <c r="O321">
        <v>1</v>
      </c>
      <c r="P321">
        <v>20</v>
      </c>
      <c r="Q321" t="s">
        <v>42</v>
      </c>
      <c r="R321" t="s">
        <v>25</v>
      </c>
    </row>
    <row r="322" spans="1:18" x14ac:dyDescent="0.25">
      <c r="A322">
        <v>1321</v>
      </c>
      <c r="B322" t="s">
        <v>694</v>
      </c>
      <c r="C322" t="s">
        <v>89</v>
      </c>
      <c r="D322" t="s">
        <v>102</v>
      </c>
      <c r="E322" t="s">
        <v>111</v>
      </c>
      <c r="F322" t="s">
        <v>103</v>
      </c>
      <c r="G322">
        <v>3</v>
      </c>
      <c r="H322">
        <v>53519</v>
      </c>
      <c r="I322" t="s">
        <v>695</v>
      </c>
      <c r="J322">
        <v>100</v>
      </c>
      <c r="K322">
        <v>27.8</v>
      </c>
      <c r="L322">
        <v>94.3</v>
      </c>
      <c r="M322">
        <v>66</v>
      </c>
      <c r="N322">
        <v>62</v>
      </c>
      <c r="O322">
        <v>0</v>
      </c>
      <c r="P322">
        <v>12</v>
      </c>
      <c r="Q322" t="s">
        <v>42</v>
      </c>
      <c r="R322" t="s">
        <v>62</v>
      </c>
    </row>
    <row r="323" spans="1:18" x14ac:dyDescent="0.25">
      <c r="A323">
        <v>1322</v>
      </c>
      <c r="B323" t="s">
        <v>696</v>
      </c>
      <c r="C323" t="s">
        <v>49</v>
      </c>
      <c r="D323" t="s">
        <v>59</v>
      </c>
      <c r="E323" t="s">
        <v>51</v>
      </c>
      <c r="F323" t="s">
        <v>35</v>
      </c>
      <c r="G323">
        <v>1</v>
      </c>
      <c r="H323">
        <v>49899</v>
      </c>
      <c r="I323" t="s">
        <v>697</v>
      </c>
      <c r="J323">
        <v>98.6</v>
      </c>
      <c r="K323">
        <v>0</v>
      </c>
      <c r="L323">
        <v>92.8</v>
      </c>
      <c r="M323">
        <v>45</v>
      </c>
      <c r="N323">
        <v>36</v>
      </c>
      <c r="O323">
        <v>2</v>
      </c>
      <c r="P323">
        <v>21</v>
      </c>
      <c r="Q323" t="s">
        <v>42</v>
      </c>
      <c r="R323" t="s">
        <v>62</v>
      </c>
    </row>
    <row r="324" spans="1:18" x14ac:dyDescent="0.25">
      <c r="A324">
        <v>1323</v>
      </c>
      <c r="B324" t="s">
        <v>698</v>
      </c>
      <c r="C324" t="s">
        <v>49</v>
      </c>
      <c r="D324" t="s">
        <v>59</v>
      </c>
      <c r="E324" t="s">
        <v>163</v>
      </c>
      <c r="F324" t="s">
        <v>76</v>
      </c>
      <c r="G324">
        <v>7.7</v>
      </c>
      <c r="H324">
        <v>97553</v>
      </c>
      <c r="I324" t="s">
        <v>699</v>
      </c>
      <c r="J324">
        <v>90.4</v>
      </c>
      <c r="K324">
        <v>9</v>
      </c>
      <c r="L324">
        <v>88.8</v>
      </c>
      <c r="M324">
        <v>74</v>
      </c>
      <c r="N324">
        <v>68</v>
      </c>
      <c r="O324">
        <v>4</v>
      </c>
      <c r="P324">
        <v>19</v>
      </c>
      <c r="Q324" t="s">
        <v>42</v>
      </c>
      <c r="R324" t="s">
        <v>25</v>
      </c>
    </row>
    <row r="325" spans="1:18" x14ac:dyDescent="0.25">
      <c r="A325">
        <v>1324</v>
      </c>
      <c r="B325" t="s">
        <v>700</v>
      </c>
      <c r="C325" t="s">
        <v>19</v>
      </c>
      <c r="D325" t="s">
        <v>137</v>
      </c>
      <c r="E325" t="s">
        <v>21</v>
      </c>
      <c r="F325" t="s">
        <v>103</v>
      </c>
      <c r="G325">
        <v>4.4000000000000004</v>
      </c>
      <c r="H325">
        <v>65544</v>
      </c>
      <c r="I325" t="s">
        <v>701</v>
      </c>
      <c r="J325">
        <v>95.3</v>
      </c>
      <c r="K325">
        <v>31</v>
      </c>
      <c r="L325">
        <v>78.599999999999994</v>
      </c>
      <c r="M325">
        <v>96</v>
      </c>
      <c r="N325">
        <v>84</v>
      </c>
      <c r="O325">
        <v>4</v>
      </c>
      <c r="P325">
        <v>14</v>
      </c>
      <c r="Q325" t="s">
        <v>37</v>
      </c>
      <c r="R325" t="s">
        <v>57</v>
      </c>
    </row>
    <row r="326" spans="1:18" x14ac:dyDescent="0.25">
      <c r="A326">
        <v>1325</v>
      </c>
      <c r="B326" t="s">
        <v>702</v>
      </c>
      <c r="C326" t="s">
        <v>32</v>
      </c>
      <c r="D326" t="s">
        <v>67</v>
      </c>
      <c r="E326" t="s">
        <v>128</v>
      </c>
      <c r="F326" t="s">
        <v>40</v>
      </c>
      <c r="G326">
        <v>4.4000000000000004</v>
      </c>
      <c r="H326">
        <v>76795</v>
      </c>
      <c r="I326" t="s">
        <v>703</v>
      </c>
      <c r="J326">
        <v>98.5</v>
      </c>
      <c r="K326">
        <v>24.1</v>
      </c>
      <c r="L326">
        <v>81.099999999999994</v>
      </c>
      <c r="M326">
        <v>118</v>
      </c>
      <c r="N326">
        <v>88</v>
      </c>
      <c r="O326">
        <v>3</v>
      </c>
      <c r="P326">
        <v>10</v>
      </c>
      <c r="Q326" t="s">
        <v>24</v>
      </c>
      <c r="R326" t="s">
        <v>25</v>
      </c>
    </row>
    <row r="327" spans="1:18" x14ac:dyDescent="0.25">
      <c r="A327">
        <v>1326</v>
      </c>
      <c r="B327" t="s">
        <v>704</v>
      </c>
      <c r="C327" t="s">
        <v>27</v>
      </c>
      <c r="D327" t="s">
        <v>64</v>
      </c>
      <c r="E327" t="s">
        <v>118</v>
      </c>
      <c r="F327" t="s">
        <v>40</v>
      </c>
      <c r="G327">
        <v>4</v>
      </c>
      <c r="H327">
        <v>53590</v>
      </c>
      <c r="I327" t="s">
        <v>705</v>
      </c>
      <c r="J327">
        <v>98.4</v>
      </c>
      <c r="K327">
        <v>7.6</v>
      </c>
      <c r="L327">
        <v>89.8</v>
      </c>
      <c r="M327">
        <v>43</v>
      </c>
      <c r="N327">
        <v>37</v>
      </c>
      <c r="O327">
        <v>2</v>
      </c>
      <c r="P327">
        <v>7</v>
      </c>
      <c r="Q327" t="s">
        <v>24</v>
      </c>
      <c r="R327" t="s">
        <v>25</v>
      </c>
    </row>
    <row r="328" spans="1:18" x14ac:dyDescent="0.25">
      <c r="A328">
        <v>1327</v>
      </c>
      <c r="B328" t="s">
        <v>706</v>
      </c>
      <c r="C328" t="s">
        <v>19</v>
      </c>
      <c r="D328" t="s">
        <v>81</v>
      </c>
      <c r="E328" t="s">
        <v>21</v>
      </c>
      <c r="F328" t="s">
        <v>76</v>
      </c>
      <c r="G328">
        <v>5.3</v>
      </c>
      <c r="H328">
        <v>65220</v>
      </c>
      <c r="I328" t="s">
        <v>707</v>
      </c>
      <c r="J328">
        <v>92</v>
      </c>
      <c r="K328">
        <v>25.1</v>
      </c>
      <c r="L328">
        <v>75.099999999999994</v>
      </c>
      <c r="M328">
        <v>106</v>
      </c>
      <c r="N328">
        <v>69</v>
      </c>
      <c r="O328">
        <v>3</v>
      </c>
      <c r="P328">
        <v>19</v>
      </c>
      <c r="Q328" t="s">
        <v>24</v>
      </c>
      <c r="R328" t="s">
        <v>57</v>
      </c>
    </row>
    <row r="329" spans="1:18" x14ac:dyDescent="0.25">
      <c r="A329">
        <v>1328</v>
      </c>
      <c r="B329" t="s">
        <v>708</v>
      </c>
      <c r="C329" t="s">
        <v>19</v>
      </c>
      <c r="D329" t="s">
        <v>81</v>
      </c>
      <c r="E329" t="s">
        <v>82</v>
      </c>
      <c r="F329" t="s">
        <v>40</v>
      </c>
      <c r="G329">
        <v>0.2</v>
      </c>
      <c r="H329">
        <v>48005</v>
      </c>
      <c r="I329" t="s">
        <v>709</v>
      </c>
      <c r="J329">
        <v>88.3</v>
      </c>
      <c r="K329">
        <v>15.6</v>
      </c>
      <c r="L329">
        <v>79.400000000000006</v>
      </c>
      <c r="M329">
        <v>74</v>
      </c>
      <c r="N329">
        <v>53</v>
      </c>
      <c r="O329">
        <v>5</v>
      </c>
      <c r="P329">
        <v>9</v>
      </c>
      <c r="Q329" t="s">
        <v>24</v>
      </c>
      <c r="R329" t="s">
        <v>57</v>
      </c>
    </row>
    <row r="330" spans="1:18" x14ac:dyDescent="0.25">
      <c r="A330">
        <v>1329</v>
      </c>
      <c r="B330" t="s">
        <v>710</v>
      </c>
      <c r="C330" t="s">
        <v>19</v>
      </c>
      <c r="D330" t="s">
        <v>20</v>
      </c>
      <c r="E330" t="s">
        <v>82</v>
      </c>
      <c r="F330" t="s">
        <v>103</v>
      </c>
      <c r="G330">
        <v>0.5</v>
      </c>
      <c r="H330">
        <v>38894</v>
      </c>
      <c r="I330" t="s">
        <v>711</v>
      </c>
      <c r="J330">
        <v>93.1</v>
      </c>
      <c r="K330">
        <v>25.5</v>
      </c>
      <c r="L330">
        <v>83.8</v>
      </c>
      <c r="M330">
        <v>86</v>
      </c>
      <c r="N330">
        <v>68</v>
      </c>
      <c r="O330">
        <v>2</v>
      </c>
      <c r="P330">
        <v>9</v>
      </c>
      <c r="Q330" t="s">
        <v>24</v>
      </c>
      <c r="R330" t="s">
        <v>25</v>
      </c>
    </row>
    <row r="331" spans="1:18" x14ac:dyDescent="0.25">
      <c r="A331">
        <v>1330</v>
      </c>
      <c r="B331" t="s">
        <v>712</v>
      </c>
      <c r="C331" t="s">
        <v>32</v>
      </c>
      <c r="D331" t="s">
        <v>106</v>
      </c>
      <c r="E331" t="s">
        <v>34</v>
      </c>
      <c r="F331" t="s">
        <v>103</v>
      </c>
      <c r="G331">
        <v>4.0999999999999996</v>
      </c>
      <c r="H331">
        <v>61037</v>
      </c>
      <c r="I331" t="s">
        <v>713</v>
      </c>
      <c r="J331">
        <v>95.4</v>
      </c>
      <c r="K331">
        <v>36.1</v>
      </c>
      <c r="L331">
        <v>90.2</v>
      </c>
      <c r="M331">
        <v>93</v>
      </c>
      <c r="N331">
        <v>80</v>
      </c>
      <c r="O331">
        <v>3</v>
      </c>
      <c r="P331">
        <v>28</v>
      </c>
      <c r="Q331" t="s">
        <v>37</v>
      </c>
      <c r="R331" t="s">
        <v>62</v>
      </c>
    </row>
    <row r="332" spans="1:18" x14ac:dyDescent="0.25">
      <c r="A332">
        <v>1331</v>
      </c>
      <c r="B332" t="s">
        <v>714</v>
      </c>
      <c r="C332" t="s">
        <v>44</v>
      </c>
      <c r="D332" t="s">
        <v>45</v>
      </c>
      <c r="E332" t="s">
        <v>97</v>
      </c>
      <c r="F332" t="s">
        <v>76</v>
      </c>
      <c r="G332">
        <v>7.5</v>
      </c>
      <c r="H332">
        <v>76807</v>
      </c>
      <c r="I332" t="s">
        <v>715</v>
      </c>
      <c r="J332">
        <v>96.2</v>
      </c>
      <c r="K332">
        <v>13.5</v>
      </c>
      <c r="L332">
        <v>82.4</v>
      </c>
      <c r="M332">
        <v>85</v>
      </c>
      <c r="N332">
        <v>63</v>
      </c>
      <c r="O332">
        <v>2</v>
      </c>
      <c r="P332">
        <v>18</v>
      </c>
      <c r="Q332" t="s">
        <v>24</v>
      </c>
      <c r="R332" t="s">
        <v>25</v>
      </c>
    </row>
    <row r="333" spans="1:18" x14ac:dyDescent="0.25">
      <c r="A333">
        <v>1332</v>
      </c>
      <c r="B333" t="s">
        <v>716</v>
      </c>
      <c r="C333" t="s">
        <v>32</v>
      </c>
      <c r="D333" t="s">
        <v>106</v>
      </c>
      <c r="E333" t="s">
        <v>94</v>
      </c>
      <c r="F333" t="s">
        <v>76</v>
      </c>
      <c r="G333">
        <v>6.3</v>
      </c>
      <c r="H333">
        <v>70071</v>
      </c>
      <c r="I333" t="s">
        <v>717</v>
      </c>
      <c r="J333">
        <v>98.3</v>
      </c>
      <c r="K333">
        <v>30.4</v>
      </c>
      <c r="L333">
        <v>87.6</v>
      </c>
      <c r="M333">
        <v>107</v>
      </c>
      <c r="N333">
        <v>100</v>
      </c>
      <c r="O333">
        <v>2</v>
      </c>
      <c r="P333">
        <v>16</v>
      </c>
      <c r="Q333" t="s">
        <v>24</v>
      </c>
      <c r="R333" t="s">
        <v>25</v>
      </c>
    </row>
    <row r="334" spans="1:18" x14ac:dyDescent="0.25">
      <c r="A334">
        <v>1333</v>
      </c>
      <c r="B334" t="s">
        <v>718</v>
      </c>
      <c r="C334" t="s">
        <v>19</v>
      </c>
      <c r="D334" t="s">
        <v>81</v>
      </c>
      <c r="E334" t="s">
        <v>39</v>
      </c>
      <c r="F334" t="s">
        <v>22</v>
      </c>
      <c r="G334">
        <v>4.4000000000000004</v>
      </c>
      <c r="H334">
        <v>67039</v>
      </c>
      <c r="I334" t="s">
        <v>305</v>
      </c>
      <c r="J334">
        <v>92.7</v>
      </c>
      <c r="K334">
        <v>21</v>
      </c>
      <c r="L334">
        <v>82</v>
      </c>
      <c r="M334">
        <v>89</v>
      </c>
      <c r="N334">
        <v>69</v>
      </c>
      <c r="O334">
        <v>3</v>
      </c>
      <c r="P334">
        <v>15</v>
      </c>
      <c r="Q334" t="s">
        <v>24</v>
      </c>
      <c r="R334" t="s">
        <v>25</v>
      </c>
    </row>
    <row r="335" spans="1:18" x14ac:dyDescent="0.25">
      <c r="A335">
        <v>1334</v>
      </c>
      <c r="B335" t="s">
        <v>719</v>
      </c>
      <c r="C335" t="s">
        <v>89</v>
      </c>
      <c r="D335" t="s">
        <v>90</v>
      </c>
      <c r="E335" t="s">
        <v>152</v>
      </c>
      <c r="F335" t="s">
        <v>22</v>
      </c>
      <c r="G335">
        <v>2.2999999999999998</v>
      </c>
      <c r="H335">
        <v>61437</v>
      </c>
      <c r="I335" t="s">
        <v>720</v>
      </c>
      <c r="J335">
        <v>94.2</v>
      </c>
      <c r="K335">
        <v>9.3000000000000007</v>
      </c>
      <c r="L335">
        <v>81</v>
      </c>
      <c r="M335">
        <v>55</v>
      </c>
      <c r="N335">
        <v>45</v>
      </c>
      <c r="O335">
        <v>2</v>
      </c>
      <c r="P335">
        <v>12</v>
      </c>
      <c r="Q335" t="s">
        <v>24</v>
      </c>
      <c r="R335" t="s">
        <v>25</v>
      </c>
    </row>
    <row r="336" spans="1:18" x14ac:dyDescent="0.25">
      <c r="A336">
        <v>1335</v>
      </c>
      <c r="B336" t="s">
        <v>721</v>
      </c>
      <c r="C336" t="s">
        <v>19</v>
      </c>
      <c r="D336" t="s">
        <v>20</v>
      </c>
      <c r="E336" t="s">
        <v>82</v>
      </c>
      <c r="F336" t="s">
        <v>22</v>
      </c>
      <c r="G336">
        <v>5.0999999999999996</v>
      </c>
      <c r="H336">
        <v>72665</v>
      </c>
      <c r="I336" t="s">
        <v>722</v>
      </c>
      <c r="J336">
        <v>90.8</v>
      </c>
      <c r="K336">
        <v>20.8</v>
      </c>
      <c r="L336">
        <v>80.7</v>
      </c>
      <c r="M336">
        <v>122</v>
      </c>
      <c r="N336">
        <v>88</v>
      </c>
      <c r="O336">
        <v>3</v>
      </c>
      <c r="P336">
        <v>16</v>
      </c>
      <c r="Q336" t="s">
        <v>24</v>
      </c>
      <c r="R336" t="s">
        <v>25</v>
      </c>
    </row>
    <row r="337" spans="1:18" x14ac:dyDescent="0.25">
      <c r="A337">
        <v>1336</v>
      </c>
      <c r="B337" t="s">
        <v>723</v>
      </c>
      <c r="C337" t="s">
        <v>19</v>
      </c>
      <c r="D337" t="s">
        <v>20</v>
      </c>
      <c r="E337" t="s">
        <v>39</v>
      </c>
      <c r="F337" t="s">
        <v>103</v>
      </c>
      <c r="G337">
        <v>4.5999999999999996</v>
      </c>
      <c r="H337">
        <v>76855</v>
      </c>
      <c r="I337" t="s">
        <v>724</v>
      </c>
      <c r="J337">
        <v>89.5</v>
      </c>
      <c r="K337">
        <v>13</v>
      </c>
      <c r="L337">
        <v>85.2</v>
      </c>
      <c r="M337">
        <v>80</v>
      </c>
      <c r="N337">
        <v>61</v>
      </c>
      <c r="O337">
        <v>0</v>
      </c>
      <c r="P337">
        <v>21</v>
      </c>
      <c r="Q337" t="s">
        <v>42</v>
      </c>
      <c r="R337" t="s">
        <v>25</v>
      </c>
    </row>
    <row r="338" spans="1:18" x14ac:dyDescent="0.25">
      <c r="A338">
        <v>1337</v>
      </c>
      <c r="B338" t="s">
        <v>725</v>
      </c>
      <c r="C338" t="s">
        <v>32</v>
      </c>
      <c r="D338" t="s">
        <v>106</v>
      </c>
      <c r="E338" t="s">
        <v>34</v>
      </c>
      <c r="F338" t="s">
        <v>35</v>
      </c>
      <c r="G338">
        <v>1.4</v>
      </c>
      <c r="H338">
        <v>32201</v>
      </c>
      <c r="I338" t="s">
        <v>726</v>
      </c>
      <c r="J338">
        <v>85.1</v>
      </c>
      <c r="K338">
        <v>26.1</v>
      </c>
      <c r="L338">
        <v>72.599999999999994</v>
      </c>
      <c r="M338">
        <v>145</v>
      </c>
      <c r="N338">
        <v>121</v>
      </c>
      <c r="O338">
        <v>2</v>
      </c>
      <c r="P338">
        <v>8</v>
      </c>
      <c r="Q338" t="s">
        <v>37</v>
      </c>
      <c r="R338" t="s">
        <v>57</v>
      </c>
    </row>
    <row r="339" spans="1:18" x14ac:dyDescent="0.25">
      <c r="A339">
        <v>1338</v>
      </c>
      <c r="B339" t="s">
        <v>727</v>
      </c>
      <c r="C339" t="s">
        <v>32</v>
      </c>
      <c r="D339" t="s">
        <v>33</v>
      </c>
      <c r="E339" t="s">
        <v>94</v>
      </c>
      <c r="F339" t="s">
        <v>40</v>
      </c>
      <c r="G339">
        <v>3.2</v>
      </c>
      <c r="H339">
        <v>48898</v>
      </c>
      <c r="I339" t="s">
        <v>728</v>
      </c>
      <c r="J339">
        <v>82.9</v>
      </c>
      <c r="K339">
        <v>22.9</v>
      </c>
      <c r="L339">
        <v>79.099999999999994</v>
      </c>
      <c r="M339">
        <v>108</v>
      </c>
      <c r="N339">
        <v>85</v>
      </c>
      <c r="O339">
        <v>5</v>
      </c>
      <c r="P339">
        <v>23</v>
      </c>
      <c r="Q339" t="s">
        <v>37</v>
      </c>
      <c r="R339" t="s">
        <v>57</v>
      </c>
    </row>
    <row r="340" spans="1:18" x14ac:dyDescent="0.25">
      <c r="A340">
        <v>1339</v>
      </c>
      <c r="B340" t="s">
        <v>729</v>
      </c>
      <c r="C340" t="s">
        <v>32</v>
      </c>
      <c r="D340" t="s">
        <v>33</v>
      </c>
      <c r="E340" t="s">
        <v>94</v>
      </c>
      <c r="F340" t="s">
        <v>103</v>
      </c>
      <c r="G340">
        <v>5.4</v>
      </c>
      <c r="H340">
        <v>67982</v>
      </c>
      <c r="I340" t="s">
        <v>730</v>
      </c>
      <c r="J340">
        <v>99.7</v>
      </c>
      <c r="K340">
        <v>15.8</v>
      </c>
      <c r="L340">
        <v>82</v>
      </c>
      <c r="M340">
        <v>95</v>
      </c>
      <c r="N340">
        <v>73</v>
      </c>
      <c r="O340">
        <v>3</v>
      </c>
      <c r="P340">
        <v>14</v>
      </c>
      <c r="Q340" t="s">
        <v>24</v>
      </c>
      <c r="R340" t="s">
        <v>25</v>
      </c>
    </row>
    <row r="341" spans="1:18" x14ac:dyDescent="0.25">
      <c r="A341">
        <v>1340</v>
      </c>
      <c r="B341" t="s">
        <v>731</v>
      </c>
      <c r="C341" t="s">
        <v>27</v>
      </c>
      <c r="D341" t="s">
        <v>64</v>
      </c>
      <c r="E341" t="s">
        <v>85</v>
      </c>
      <c r="F341" t="s">
        <v>103</v>
      </c>
      <c r="G341">
        <v>6.3</v>
      </c>
      <c r="H341">
        <v>82066</v>
      </c>
      <c r="I341" t="s">
        <v>732</v>
      </c>
      <c r="J341">
        <v>94.5</v>
      </c>
      <c r="K341">
        <v>7.8</v>
      </c>
      <c r="L341">
        <v>100</v>
      </c>
      <c r="M341">
        <v>89</v>
      </c>
      <c r="N341">
        <v>85</v>
      </c>
      <c r="O341">
        <v>1</v>
      </c>
      <c r="P341">
        <v>31</v>
      </c>
      <c r="Q341" t="s">
        <v>42</v>
      </c>
      <c r="R341" t="s">
        <v>62</v>
      </c>
    </row>
    <row r="342" spans="1:18" x14ac:dyDescent="0.25">
      <c r="A342">
        <v>1341</v>
      </c>
      <c r="B342" t="s">
        <v>733</v>
      </c>
      <c r="C342" t="s">
        <v>89</v>
      </c>
      <c r="D342" t="s">
        <v>121</v>
      </c>
      <c r="E342" t="s">
        <v>91</v>
      </c>
      <c r="F342" t="s">
        <v>22</v>
      </c>
      <c r="G342">
        <v>2.8</v>
      </c>
      <c r="H342">
        <v>49888</v>
      </c>
      <c r="I342" t="s">
        <v>734</v>
      </c>
      <c r="J342">
        <v>98.7</v>
      </c>
      <c r="K342">
        <v>7</v>
      </c>
      <c r="L342">
        <v>99.4</v>
      </c>
      <c r="M342">
        <v>65</v>
      </c>
      <c r="N342">
        <v>61</v>
      </c>
      <c r="O342">
        <v>2</v>
      </c>
      <c r="P342">
        <v>17</v>
      </c>
      <c r="Q342" t="s">
        <v>24</v>
      </c>
      <c r="R342" t="s">
        <v>62</v>
      </c>
    </row>
    <row r="343" spans="1:18" x14ac:dyDescent="0.25">
      <c r="A343">
        <v>1342</v>
      </c>
      <c r="B343" t="s">
        <v>735</v>
      </c>
      <c r="C343" t="s">
        <v>44</v>
      </c>
      <c r="D343" t="s">
        <v>45</v>
      </c>
      <c r="E343" t="s">
        <v>46</v>
      </c>
      <c r="F343" t="s">
        <v>103</v>
      </c>
      <c r="G343">
        <v>2.7</v>
      </c>
      <c r="H343">
        <v>42556</v>
      </c>
      <c r="I343" t="s">
        <v>736</v>
      </c>
      <c r="J343">
        <v>94</v>
      </c>
      <c r="K343">
        <v>35.700000000000003</v>
      </c>
      <c r="L343">
        <v>83.4</v>
      </c>
      <c r="M343">
        <v>108</v>
      </c>
      <c r="N343">
        <v>89</v>
      </c>
      <c r="O343">
        <v>4</v>
      </c>
      <c r="P343">
        <v>25</v>
      </c>
      <c r="Q343" t="s">
        <v>37</v>
      </c>
      <c r="R343" t="s">
        <v>25</v>
      </c>
    </row>
    <row r="344" spans="1:18" x14ac:dyDescent="0.25">
      <c r="A344">
        <v>1343</v>
      </c>
      <c r="B344" t="s">
        <v>737</v>
      </c>
      <c r="C344" t="s">
        <v>27</v>
      </c>
      <c r="D344" t="s">
        <v>64</v>
      </c>
      <c r="E344" t="s">
        <v>85</v>
      </c>
      <c r="F344" t="s">
        <v>76</v>
      </c>
      <c r="G344">
        <v>0.7</v>
      </c>
      <c r="H344">
        <v>28641</v>
      </c>
      <c r="I344" t="s">
        <v>738</v>
      </c>
      <c r="J344">
        <v>93.9</v>
      </c>
      <c r="K344">
        <v>6.8</v>
      </c>
      <c r="L344">
        <v>89.8</v>
      </c>
      <c r="M344">
        <v>58</v>
      </c>
      <c r="N344">
        <v>49</v>
      </c>
      <c r="O344">
        <v>1</v>
      </c>
      <c r="P344">
        <v>13</v>
      </c>
      <c r="Q344" t="s">
        <v>42</v>
      </c>
      <c r="R344" t="s">
        <v>25</v>
      </c>
    </row>
    <row r="345" spans="1:18" x14ac:dyDescent="0.25">
      <c r="A345">
        <v>1344</v>
      </c>
      <c r="B345" t="s">
        <v>739</v>
      </c>
      <c r="C345" t="s">
        <v>19</v>
      </c>
      <c r="D345" t="s">
        <v>137</v>
      </c>
      <c r="E345" t="s">
        <v>82</v>
      </c>
      <c r="F345" t="s">
        <v>103</v>
      </c>
      <c r="G345">
        <v>3.6</v>
      </c>
      <c r="H345">
        <v>57456</v>
      </c>
      <c r="I345" t="s">
        <v>227</v>
      </c>
      <c r="J345">
        <v>94</v>
      </c>
      <c r="K345">
        <v>23.3</v>
      </c>
      <c r="L345">
        <v>83.8</v>
      </c>
      <c r="M345">
        <v>100</v>
      </c>
      <c r="N345">
        <v>87</v>
      </c>
      <c r="O345">
        <v>1</v>
      </c>
      <c r="P345">
        <v>9</v>
      </c>
      <c r="Q345" t="s">
        <v>24</v>
      </c>
      <c r="R345" t="s">
        <v>25</v>
      </c>
    </row>
    <row r="346" spans="1:18" x14ac:dyDescent="0.25">
      <c r="A346">
        <v>1345</v>
      </c>
      <c r="B346" t="s">
        <v>740</v>
      </c>
      <c r="C346" t="s">
        <v>32</v>
      </c>
      <c r="D346" t="s">
        <v>106</v>
      </c>
      <c r="E346" t="s">
        <v>94</v>
      </c>
      <c r="F346" t="s">
        <v>103</v>
      </c>
      <c r="G346">
        <v>4.3</v>
      </c>
      <c r="H346">
        <v>67928</v>
      </c>
      <c r="I346" t="s">
        <v>741</v>
      </c>
      <c r="J346">
        <v>96.7</v>
      </c>
      <c r="K346">
        <v>22.1</v>
      </c>
      <c r="L346">
        <v>73.599999999999994</v>
      </c>
      <c r="M346">
        <v>110</v>
      </c>
      <c r="N346">
        <v>76</v>
      </c>
      <c r="O346">
        <v>4</v>
      </c>
      <c r="P346">
        <v>10</v>
      </c>
      <c r="Q346" t="s">
        <v>37</v>
      </c>
      <c r="R346" t="s">
        <v>57</v>
      </c>
    </row>
    <row r="347" spans="1:18" x14ac:dyDescent="0.25">
      <c r="A347">
        <v>1346</v>
      </c>
      <c r="B347" t="s">
        <v>742</v>
      </c>
      <c r="C347" t="s">
        <v>44</v>
      </c>
      <c r="D347" t="s">
        <v>70</v>
      </c>
      <c r="E347" t="s">
        <v>55</v>
      </c>
      <c r="F347" t="s">
        <v>22</v>
      </c>
      <c r="G347">
        <v>4.2</v>
      </c>
      <c r="H347">
        <v>62645</v>
      </c>
      <c r="I347" t="s">
        <v>743</v>
      </c>
      <c r="J347">
        <v>95.1</v>
      </c>
      <c r="K347">
        <v>33.299999999999997</v>
      </c>
      <c r="L347">
        <v>78.400000000000006</v>
      </c>
      <c r="M347">
        <v>108</v>
      </c>
      <c r="N347">
        <v>78</v>
      </c>
      <c r="O347">
        <v>4</v>
      </c>
      <c r="P347">
        <v>18</v>
      </c>
      <c r="Q347" t="s">
        <v>37</v>
      </c>
      <c r="R347" t="s">
        <v>57</v>
      </c>
    </row>
    <row r="348" spans="1:18" x14ac:dyDescent="0.25">
      <c r="A348">
        <v>1347</v>
      </c>
      <c r="B348" t="s">
        <v>744</v>
      </c>
      <c r="C348" t="s">
        <v>44</v>
      </c>
      <c r="D348" t="s">
        <v>70</v>
      </c>
      <c r="E348" t="s">
        <v>55</v>
      </c>
      <c r="F348" t="s">
        <v>22</v>
      </c>
      <c r="G348">
        <v>7.4</v>
      </c>
      <c r="H348">
        <v>82313</v>
      </c>
      <c r="I348" t="s">
        <v>745</v>
      </c>
      <c r="J348">
        <v>96.1</v>
      </c>
      <c r="K348">
        <v>21.1</v>
      </c>
      <c r="L348">
        <v>79.2</v>
      </c>
      <c r="M348">
        <v>101</v>
      </c>
      <c r="N348">
        <v>75</v>
      </c>
      <c r="O348">
        <v>2</v>
      </c>
      <c r="P348">
        <v>18</v>
      </c>
      <c r="Q348" t="s">
        <v>24</v>
      </c>
      <c r="R348" t="s">
        <v>57</v>
      </c>
    </row>
    <row r="349" spans="1:18" x14ac:dyDescent="0.25">
      <c r="A349">
        <v>1348</v>
      </c>
      <c r="B349" t="s">
        <v>746</v>
      </c>
      <c r="C349" t="s">
        <v>32</v>
      </c>
      <c r="D349" t="s">
        <v>106</v>
      </c>
      <c r="E349" t="s">
        <v>128</v>
      </c>
      <c r="F349" t="s">
        <v>103</v>
      </c>
      <c r="G349">
        <v>9</v>
      </c>
      <c r="H349">
        <v>110776</v>
      </c>
      <c r="I349" t="s">
        <v>747</v>
      </c>
      <c r="J349">
        <v>89.2</v>
      </c>
      <c r="K349">
        <v>38.4</v>
      </c>
      <c r="L349">
        <v>83.2</v>
      </c>
      <c r="M349">
        <v>123</v>
      </c>
      <c r="N349">
        <v>111</v>
      </c>
      <c r="O349">
        <v>6</v>
      </c>
      <c r="P349">
        <v>13</v>
      </c>
      <c r="Q349" t="s">
        <v>37</v>
      </c>
      <c r="R349" t="s">
        <v>25</v>
      </c>
    </row>
    <row r="350" spans="1:18" x14ac:dyDescent="0.25">
      <c r="A350">
        <v>1349</v>
      </c>
      <c r="B350" t="s">
        <v>748</v>
      </c>
      <c r="C350" t="s">
        <v>44</v>
      </c>
      <c r="D350" t="s">
        <v>54</v>
      </c>
      <c r="E350" t="s">
        <v>55</v>
      </c>
      <c r="F350" t="s">
        <v>103</v>
      </c>
      <c r="G350">
        <v>5.2</v>
      </c>
      <c r="H350">
        <v>65430</v>
      </c>
      <c r="I350" t="s">
        <v>749</v>
      </c>
      <c r="J350">
        <v>98.7</v>
      </c>
      <c r="K350">
        <v>7.6</v>
      </c>
      <c r="L350">
        <v>73.5</v>
      </c>
      <c r="M350">
        <v>68</v>
      </c>
      <c r="N350">
        <v>57</v>
      </c>
      <c r="O350">
        <v>5</v>
      </c>
      <c r="P350">
        <v>8</v>
      </c>
      <c r="Q350" t="s">
        <v>24</v>
      </c>
      <c r="R350" t="s">
        <v>57</v>
      </c>
    </row>
    <row r="351" spans="1:18" x14ac:dyDescent="0.25">
      <c r="A351">
        <v>1350</v>
      </c>
      <c r="B351" t="s">
        <v>750</v>
      </c>
      <c r="C351" t="s">
        <v>27</v>
      </c>
      <c r="D351" t="s">
        <v>75</v>
      </c>
      <c r="E351" t="s">
        <v>118</v>
      </c>
      <c r="F351" t="s">
        <v>22</v>
      </c>
      <c r="G351">
        <v>7.7</v>
      </c>
      <c r="H351">
        <v>77158</v>
      </c>
      <c r="I351" t="s">
        <v>751</v>
      </c>
      <c r="J351">
        <v>87.6</v>
      </c>
      <c r="K351">
        <v>0</v>
      </c>
      <c r="L351">
        <v>97.5</v>
      </c>
      <c r="M351">
        <v>53</v>
      </c>
      <c r="N351">
        <v>49</v>
      </c>
      <c r="O351">
        <v>1</v>
      </c>
      <c r="P351">
        <v>7</v>
      </c>
      <c r="Q351" t="s">
        <v>42</v>
      </c>
      <c r="R351" t="s">
        <v>62</v>
      </c>
    </row>
    <row r="352" spans="1:18" x14ac:dyDescent="0.25">
      <c r="A352">
        <v>1351</v>
      </c>
      <c r="B352" t="s">
        <v>752</v>
      </c>
      <c r="C352" t="s">
        <v>49</v>
      </c>
      <c r="D352" t="s">
        <v>59</v>
      </c>
      <c r="E352" t="s">
        <v>51</v>
      </c>
      <c r="F352" t="s">
        <v>22</v>
      </c>
      <c r="G352">
        <v>4.2</v>
      </c>
      <c r="H352">
        <v>63834</v>
      </c>
      <c r="I352" t="s">
        <v>753</v>
      </c>
      <c r="J352">
        <v>83.7</v>
      </c>
      <c r="K352">
        <v>12.5</v>
      </c>
      <c r="L352">
        <v>88.5</v>
      </c>
      <c r="M352">
        <v>56</v>
      </c>
      <c r="N352">
        <v>54</v>
      </c>
      <c r="O352">
        <v>4</v>
      </c>
      <c r="P352">
        <v>18</v>
      </c>
      <c r="Q352" t="s">
        <v>42</v>
      </c>
      <c r="R352" t="s">
        <v>25</v>
      </c>
    </row>
    <row r="353" spans="1:18" x14ac:dyDescent="0.25">
      <c r="A353">
        <v>1352</v>
      </c>
      <c r="B353" t="s">
        <v>754</v>
      </c>
      <c r="C353" t="s">
        <v>89</v>
      </c>
      <c r="D353" t="s">
        <v>121</v>
      </c>
      <c r="E353" t="s">
        <v>152</v>
      </c>
      <c r="F353" t="s">
        <v>86</v>
      </c>
      <c r="G353">
        <v>6.1</v>
      </c>
      <c r="H353">
        <v>66124</v>
      </c>
      <c r="I353" t="s">
        <v>755</v>
      </c>
      <c r="J353">
        <v>88.4</v>
      </c>
      <c r="K353">
        <v>20.7</v>
      </c>
      <c r="L353">
        <v>90</v>
      </c>
      <c r="M353">
        <v>100</v>
      </c>
      <c r="N353">
        <v>93</v>
      </c>
      <c r="O353">
        <v>0</v>
      </c>
      <c r="P353">
        <v>12</v>
      </c>
      <c r="Q353" t="s">
        <v>42</v>
      </c>
      <c r="R353" t="s">
        <v>62</v>
      </c>
    </row>
    <row r="354" spans="1:18" x14ac:dyDescent="0.25">
      <c r="A354">
        <v>1353</v>
      </c>
      <c r="B354" t="s">
        <v>756</v>
      </c>
      <c r="C354" t="s">
        <v>89</v>
      </c>
      <c r="D354" t="s">
        <v>121</v>
      </c>
      <c r="E354" t="s">
        <v>152</v>
      </c>
      <c r="F354" t="s">
        <v>40</v>
      </c>
      <c r="G354">
        <v>5.0999999999999996</v>
      </c>
      <c r="H354">
        <v>50996</v>
      </c>
      <c r="I354" t="s">
        <v>757</v>
      </c>
      <c r="J354">
        <v>100</v>
      </c>
      <c r="K354">
        <v>10.199999999999999</v>
      </c>
      <c r="L354">
        <v>92.1</v>
      </c>
      <c r="M354">
        <v>82</v>
      </c>
      <c r="N354">
        <v>68</v>
      </c>
      <c r="O354">
        <v>3</v>
      </c>
      <c r="P354">
        <v>13</v>
      </c>
      <c r="Q354" t="s">
        <v>24</v>
      </c>
      <c r="R354" t="s">
        <v>62</v>
      </c>
    </row>
    <row r="355" spans="1:18" x14ac:dyDescent="0.25">
      <c r="A355">
        <v>1354</v>
      </c>
      <c r="B355" t="s">
        <v>758</v>
      </c>
      <c r="C355" t="s">
        <v>27</v>
      </c>
      <c r="D355" t="s">
        <v>64</v>
      </c>
      <c r="E355" t="s">
        <v>118</v>
      </c>
      <c r="F355" t="s">
        <v>40</v>
      </c>
      <c r="G355">
        <v>2.2000000000000002</v>
      </c>
      <c r="H355">
        <v>51332</v>
      </c>
      <c r="I355" t="s">
        <v>759</v>
      </c>
      <c r="J355">
        <v>96.3</v>
      </c>
      <c r="K355">
        <v>15.2</v>
      </c>
      <c r="L355">
        <v>88.7</v>
      </c>
      <c r="M355">
        <v>83</v>
      </c>
      <c r="N355">
        <v>75</v>
      </c>
      <c r="O355">
        <v>3</v>
      </c>
      <c r="P355">
        <v>15</v>
      </c>
      <c r="Q355" t="s">
        <v>42</v>
      </c>
      <c r="R355" t="s">
        <v>25</v>
      </c>
    </row>
    <row r="356" spans="1:18" x14ac:dyDescent="0.25">
      <c r="A356">
        <v>1355</v>
      </c>
      <c r="B356" t="s">
        <v>760</v>
      </c>
      <c r="C356" t="s">
        <v>32</v>
      </c>
      <c r="D356" t="s">
        <v>67</v>
      </c>
      <c r="E356" t="s">
        <v>34</v>
      </c>
      <c r="F356" t="s">
        <v>35</v>
      </c>
      <c r="G356">
        <v>4.0999999999999996</v>
      </c>
      <c r="H356">
        <v>59779</v>
      </c>
      <c r="I356" t="s">
        <v>761</v>
      </c>
      <c r="J356">
        <v>100</v>
      </c>
      <c r="K356">
        <v>31.8</v>
      </c>
      <c r="L356">
        <v>86.3</v>
      </c>
      <c r="M356">
        <v>124</v>
      </c>
      <c r="N356">
        <v>107</v>
      </c>
      <c r="O356">
        <v>4</v>
      </c>
      <c r="P356">
        <v>20</v>
      </c>
      <c r="Q356" t="s">
        <v>37</v>
      </c>
      <c r="R356" t="s">
        <v>25</v>
      </c>
    </row>
    <row r="357" spans="1:18" x14ac:dyDescent="0.25">
      <c r="A357">
        <v>1356</v>
      </c>
      <c r="B357" t="s">
        <v>762</v>
      </c>
      <c r="C357" t="s">
        <v>89</v>
      </c>
      <c r="D357" t="s">
        <v>90</v>
      </c>
      <c r="E357" t="s">
        <v>152</v>
      </c>
      <c r="F357" t="s">
        <v>86</v>
      </c>
      <c r="G357">
        <v>5.7</v>
      </c>
      <c r="H357">
        <v>58463</v>
      </c>
      <c r="I357" t="s">
        <v>763</v>
      </c>
      <c r="J357">
        <v>91.9</v>
      </c>
      <c r="K357">
        <v>9.4</v>
      </c>
      <c r="L357">
        <v>87.2</v>
      </c>
      <c r="M357">
        <v>68</v>
      </c>
      <c r="N357">
        <v>64</v>
      </c>
      <c r="O357">
        <v>4</v>
      </c>
      <c r="P357">
        <v>16</v>
      </c>
      <c r="Q357" t="s">
        <v>42</v>
      </c>
      <c r="R357" t="s">
        <v>25</v>
      </c>
    </row>
    <row r="358" spans="1:18" x14ac:dyDescent="0.25">
      <c r="A358">
        <v>1357</v>
      </c>
      <c r="B358" t="s">
        <v>764</v>
      </c>
      <c r="C358" t="s">
        <v>49</v>
      </c>
      <c r="D358" t="s">
        <v>59</v>
      </c>
      <c r="E358" t="s">
        <v>51</v>
      </c>
      <c r="F358" t="s">
        <v>103</v>
      </c>
      <c r="G358">
        <v>0.2</v>
      </c>
      <c r="H358">
        <v>40691</v>
      </c>
      <c r="I358" t="s">
        <v>765</v>
      </c>
      <c r="J358">
        <v>92.7</v>
      </c>
      <c r="K358">
        <v>7.6</v>
      </c>
      <c r="L358">
        <v>87.9</v>
      </c>
      <c r="M358">
        <v>98</v>
      </c>
      <c r="N358">
        <v>87</v>
      </c>
      <c r="O358">
        <v>0</v>
      </c>
      <c r="P358">
        <v>7</v>
      </c>
      <c r="Q358" t="s">
        <v>42</v>
      </c>
      <c r="R358" t="s">
        <v>25</v>
      </c>
    </row>
    <row r="359" spans="1:18" x14ac:dyDescent="0.25">
      <c r="A359">
        <v>1358</v>
      </c>
      <c r="B359" t="s">
        <v>766</v>
      </c>
      <c r="C359" t="s">
        <v>44</v>
      </c>
      <c r="D359" t="s">
        <v>54</v>
      </c>
      <c r="E359" t="s">
        <v>97</v>
      </c>
      <c r="F359" t="s">
        <v>86</v>
      </c>
      <c r="G359">
        <v>2.5</v>
      </c>
      <c r="H359">
        <v>53567</v>
      </c>
      <c r="I359" t="s">
        <v>767</v>
      </c>
      <c r="J359">
        <v>96.7</v>
      </c>
      <c r="K359">
        <v>17.600000000000001</v>
      </c>
      <c r="L359">
        <v>78.7</v>
      </c>
      <c r="M359">
        <v>101</v>
      </c>
      <c r="N359">
        <v>69</v>
      </c>
      <c r="O359">
        <v>5</v>
      </c>
      <c r="P359">
        <v>20</v>
      </c>
      <c r="Q359" t="s">
        <v>24</v>
      </c>
      <c r="R359" t="s">
        <v>57</v>
      </c>
    </row>
    <row r="360" spans="1:18" x14ac:dyDescent="0.25">
      <c r="A360">
        <v>1359</v>
      </c>
      <c r="B360" t="s">
        <v>768</v>
      </c>
      <c r="C360" t="s">
        <v>32</v>
      </c>
      <c r="D360" t="s">
        <v>67</v>
      </c>
      <c r="E360" t="s">
        <v>128</v>
      </c>
      <c r="F360" t="s">
        <v>40</v>
      </c>
      <c r="G360">
        <v>0.7</v>
      </c>
      <c r="H360">
        <v>39080</v>
      </c>
      <c r="I360" t="s">
        <v>376</v>
      </c>
      <c r="J360">
        <v>95.7</v>
      </c>
      <c r="K360">
        <v>11.9</v>
      </c>
      <c r="L360">
        <v>80.7</v>
      </c>
      <c r="M360">
        <v>103</v>
      </c>
      <c r="N360">
        <v>99</v>
      </c>
      <c r="O360">
        <v>4</v>
      </c>
      <c r="P360">
        <v>12</v>
      </c>
      <c r="Q360" t="s">
        <v>42</v>
      </c>
      <c r="R360" t="s">
        <v>25</v>
      </c>
    </row>
    <row r="361" spans="1:18" x14ac:dyDescent="0.25">
      <c r="A361">
        <v>1360</v>
      </c>
      <c r="B361" t="s">
        <v>769</v>
      </c>
      <c r="C361" t="s">
        <v>49</v>
      </c>
      <c r="D361" t="s">
        <v>59</v>
      </c>
      <c r="E361" t="s">
        <v>60</v>
      </c>
      <c r="F361" t="s">
        <v>22</v>
      </c>
      <c r="G361">
        <v>3.7</v>
      </c>
      <c r="H361">
        <v>57392</v>
      </c>
      <c r="I361" t="s">
        <v>770</v>
      </c>
      <c r="J361">
        <v>96.6</v>
      </c>
      <c r="K361">
        <v>26.1</v>
      </c>
      <c r="L361">
        <v>89.1</v>
      </c>
      <c r="M361">
        <v>84</v>
      </c>
      <c r="N361">
        <v>76</v>
      </c>
      <c r="O361">
        <v>0</v>
      </c>
      <c r="P361">
        <v>19</v>
      </c>
      <c r="Q361" t="s">
        <v>24</v>
      </c>
      <c r="R361" t="s">
        <v>25</v>
      </c>
    </row>
    <row r="362" spans="1:18" x14ac:dyDescent="0.25">
      <c r="A362">
        <v>1361</v>
      </c>
      <c r="B362" t="s">
        <v>771</v>
      </c>
      <c r="C362" t="s">
        <v>49</v>
      </c>
      <c r="D362" t="s">
        <v>50</v>
      </c>
      <c r="E362" t="s">
        <v>51</v>
      </c>
      <c r="F362" t="s">
        <v>35</v>
      </c>
      <c r="G362">
        <v>3.8</v>
      </c>
      <c r="H362">
        <v>49236</v>
      </c>
      <c r="I362" t="s">
        <v>772</v>
      </c>
      <c r="J362">
        <v>90.4</v>
      </c>
      <c r="K362">
        <v>21.5</v>
      </c>
      <c r="L362">
        <v>88.2</v>
      </c>
      <c r="M362">
        <v>72</v>
      </c>
      <c r="N362">
        <v>69</v>
      </c>
      <c r="O362">
        <v>3</v>
      </c>
      <c r="P362">
        <v>19</v>
      </c>
      <c r="Q362" t="s">
        <v>24</v>
      </c>
      <c r="R362" t="s">
        <v>25</v>
      </c>
    </row>
    <row r="363" spans="1:18" x14ac:dyDescent="0.25">
      <c r="A363">
        <v>1362</v>
      </c>
      <c r="B363" t="s">
        <v>773</v>
      </c>
      <c r="C363" t="s">
        <v>44</v>
      </c>
      <c r="D363" t="s">
        <v>54</v>
      </c>
      <c r="E363" t="s">
        <v>97</v>
      </c>
      <c r="F363" t="s">
        <v>40</v>
      </c>
      <c r="G363">
        <v>1.3</v>
      </c>
      <c r="H363">
        <v>34926</v>
      </c>
      <c r="I363" t="s">
        <v>709</v>
      </c>
      <c r="J363">
        <v>82.3</v>
      </c>
      <c r="K363">
        <v>10.1</v>
      </c>
      <c r="L363">
        <v>72.7</v>
      </c>
      <c r="M363">
        <v>104</v>
      </c>
      <c r="N363">
        <v>67</v>
      </c>
      <c r="O363">
        <v>1</v>
      </c>
      <c r="P363">
        <v>24</v>
      </c>
      <c r="Q363" t="s">
        <v>37</v>
      </c>
      <c r="R363" t="s">
        <v>57</v>
      </c>
    </row>
    <row r="364" spans="1:18" x14ac:dyDescent="0.25">
      <c r="A364">
        <v>1363</v>
      </c>
      <c r="B364" t="s">
        <v>774</v>
      </c>
      <c r="C364" t="s">
        <v>44</v>
      </c>
      <c r="D364" t="s">
        <v>54</v>
      </c>
      <c r="E364" t="s">
        <v>97</v>
      </c>
      <c r="F364" t="s">
        <v>40</v>
      </c>
      <c r="G364">
        <v>6.6</v>
      </c>
      <c r="H364">
        <v>63784</v>
      </c>
      <c r="I364" t="s">
        <v>545</v>
      </c>
      <c r="J364">
        <v>90.2</v>
      </c>
      <c r="K364">
        <v>27.8</v>
      </c>
      <c r="L364">
        <v>81.7</v>
      </c>
      <c r="M364">
        <v>94</v>
      </c>
      <c r="N364">
        <v>69</v>
      </c>
      <c r="O364">
        <v>2</v>
      </c>
      <c r="P364">
        <v>21</v>
      </c>
      <c r="Q364" t="s">
        <v>37</v>
      </c>
      <c r="R364" t="s">
        <v>25</v>
      </c>
    </row>
    <row r="365" spans="1:18" x14ac:dyDescent="0.25">
      <c r="A365">
        <v>1364</v>
      </c>
      <c r="B365" t="s">
        <v>775</v>
      </c>
      <c r="C365" t="s">
        <v>89</v>
      </c>
      <c r="D365" t="s">
        <v>102</v>
      </c>
      <c r="E365" t="s">
        <v>152</v>
      </c>
      <c r="F365" t="s">
        <v>76</v>
      </c>
      <c r="G365">
        <v>5.4</v>
      </c>
      <c r="H365">
        <v>75506</v>
      </c>
      <c r="I365" t="s">
        <v>776</v>
      </c>
      <c r="J365">
        <v>100</v>
      </c>
      <c r="K365">
        <v>23.1</v>
      </c>
      <c r="L365">
        <v>91.1</v>
      </c>
      <c r="M365">
        <v>73</v>
      </c>
      <c r="N365">
        <v>60</v>
      </c>
      <c r="O365">
        <v>2</v>
      </c>
      <c r="P365">
        <v>11</v>
      </c>
      <c r="Q365" t="s">
        <v>42</v>
      </c>
      <c r="R365" t="s">
        <v>62</v>
      </c>
    </row>
    <row r="366" spans="1:18" x14ac:dyDescent="0.25">
      <c r="A366">
        <v>1365</v>
      </c>
      <c r="B366" t="s">
        <v>777</v>
      </c>
      <c r="C366" t="s">
        <v>89</v>
      </c>
      <c r="D366" t="s">
        <v>102</v>
      </c>
      <c r="E366" t="s">
        <v>91</v>
      </c>
      <c r="F366" t="s">
        <v>22</v>
      </c>
      <c r="G366">
        <v>1.8</v>
      </c>
      <c r="H366">
        <v>41185</v>
      </c>
      <c r="I366" t="s">
        <v>778</v>
      </c>
      <c r="J366">
        <v>91.9</v>
      </c>
      <c r="K366">
        <v>18.899999999999999</v>
      </c>
      <c r="L366">
        <v>89.9</v>
      </c>
      <c r="M366">
        <v>73</v>
      </c>
      <c r="N366">
        <v>67</v>
      </c>
      <c r="O366">
        <v>1</v>
      </c>
      <c r="P366">
        <v>8</v>
      </c>
      <c r="Q366" t="s">
        <v>42</v>
      </c>
      <c r="R366" t="s">
        <v>25</v>
      </c>
    </row>
    <row r="367" spans="1:18" x14ac:dyDescent="0.25">
      <c r="A367">
        <v>1366</v>
      </c>
      <c r="B367" t="s">
        <v>779</v>
      </c>
      <c r="C367" t="s">
        <v>49</v>
      </c>
      <c r="D367" t="s">
        <v>178</v>
      </c>
      <c r="E367" t="s">
        <v>163</v>
      </c>
      <c r="F367" t="s">
        <v>22</v>
      </c>
      <c r="G367">
        <v>6.2</v>
      </c>
      <c r="H367">
        <v>78557</v>
      </c>
      <c r="I367" t="s">
        <v>780</v>
      </c>
      <c r="J367">
        <v>95.5</v>
      </c>
      <c r="K367">
        <v>1.7</v>
      </c>
      <c r="L367">
        <v>83.4</v>
      </c>
      <c r="M367">
        <v>71</v>
      </c>
      <c r="N367">
        <v>60</v>
      </c>
      <c r="O367">
        <v>4</v>
      </c>
      <c r="P367">
        <v>9</v>
      </c>
      <c r="Q367" t="s">
        <v>24</v>
      </c>
      <c r="R367" t="s">
        <v>25</v>
      </c>
    </row>
    <row r="368" spans="1:18" x14ac:dyDescent="0.25">
      <c r="A368">
        <v>1367</v>
      </c>
      <c r="B368" t="s">
        <v>781</v>
      </c>
      <c r="C368" t="s">
        <v>27</v>
      </c>
      <c r="D368" t="s">
        <v>28</v>
      </c>
      <c r="E368" t="s">
        <v>118</v>
      </c>
      <c r="F368" t="s">
        <v>35</v>
      </c>
      <c r="G368">
        <v>10.1</v>
      </c>
      <c r="H368">
        <v>100438</v>
      </c>
      <c r="I368" t="s">
        <v>782</v>
      </c>
      <c r="J368">
        <v>92.4</v>
      </c>
      <c r="K368">
        <v>15</v>
      </c>
      <c r="L368">
        <v>95.5</v>
      </c>
      <c r="M368">
        <v>87</v>
      </c>
      <c r="N368">
        <v>81</v>
      </c>
      <c r="O368">
        <v>2</v>
      </c>
      <c r="P368">
        <v>14</v>
      </c>
      <c r="Q368" t="s">
        <v>42</v>
      </c>
      <c r="R368" t="s">
        <v>62</v>
      </c>
    </row>
    <row r="369" spans="1:18" x14ac:dyDescent="0.25">
      <c r="A369">
        <v>1368</v>
      </c>
      <c r="B369" t="s">
        <v>783</v>
      </c>
      <c r="C369" t="s">
        <v>89</v>
      </c>
      <c r="D369" t="s">
        <v>90</v>
      </c>
      <c r="E369" t="s">
        <v>152</v>
      </c>
      <c r="F369" t="s">
        <v>40</v>
      </c>
      <c r="G369">
        <v>5.4</v>
      </c>
      <c r="H369">
        <v>73921</v>
      </c>
      <c r="I369" t="s">
        <v>784</v>
      </c>
      <c r="J369">
        <v>93.2</v>
      </c>
      <c r="K369">
        <v>38.5</v>
      </c>
      <c r="L369">
        <v>90.2</v>
      </c>
      <c r="M369">
        <v>85</v>
      </c>
      <c r="N369">
        <v>82</v>
      </c>
      <c r="O369">
        <v>0</v>
      </c>
      <c r="P369">
        <v>15</v>
      </c>
      <c r="Q369" t="s">
        <v>37</v>
      </c>
      <c r="R369" t="s">
        <v>62</v>
      </c>
    </row>
    <row r="370" spans="1:18" x14ac:dyDescent="0.25">
      <c r="A370">
        <v>1369</v>
      </c>
      <c r="B370" t="s">
        <v>785</v>
      </c>
      <c r="C370" t="s">
        <v>44</v>
      </c>
      <c r="D370" t="s">
        <v>45</v>
      </c>
      <c r="E370" t="s">
        <v>55</v>
      </c>
      <c r="F370" t="s">
        <v>76</v>
      </c>
      <c r="G370">
        <v>4.4000000000000004</v>
      </c>
      <c r="H370">
        <v>66289</v>
      </c>
      <c r="I370" t="s">
        <v>786</v>
      </c>
      <c r="J370">
        <v>87.8</v>
      </c>
      <c r="K370">
        <v>12.5</v>
      </c>
      <c r="L370">
        <v>73.3</v>
      </c>
      <c r="M370">
        <v>68</v>
      </c>
      <c r="N370">
        <v>53</v>
      </c>
      <c r="O370">
        <v>4</v>
      </c>
      <c r="P370">
        <v>20</v>
      </c>
      <c r="Q370" t="s">
        <v>37</v>
      </c>
      <c r="R370" t="s">
        <v>57</v>
      </c>
    </row>
    <row r="371" spans="1:18" x14ac:dyDescent="0.25">
      <c r="A371">
        <v>1370</v>
      </c>
      <c r="B371" t="s">
        <v>787</v>
      </c>
      <c r="C371" t="s">
        <v>49</v>
      </c>
      <c r="D371" t="s">
        <v>50</v>
      </c>
      <c r="E371" t="s">
        <v>60</v>
      </c>
      <c r="F371" t="s">
        <v>86</v>
      </c>
      <c r="G371">
        <v>6</v>
      </c>
      <c r="H371">
        <v>67490</v>
      </c>
      <c r="I371" t="s">
        <v>741</v>
      </c>
      <c r="J371">
        <v>97.8</v>
      </c>
      <c r="K371">
        <v>16.2</v>
      </c>
      <c r="L371">
        <v>84.1</v>
      </c>
      <c r="M371">
        <v>82</v>
      </c>
      <c r="N371">
        <v>72</v>
      </c>
      <c r="O371">
        <v>0</v>
      </c>
      <c r="P371">
        <v>16</v>
      </c>
      <c r="Q371" t="s">
        <v>24</v>
      </c>
      <c r="R371" t="s">
        <v>25</v>
      </c>
    </row>
    <row r="372" spans="1:18" x14ac:dyDescent="0.25">
      <c r="A372">
        <v>1371</v>
      </c>
      <c r="B372" t="s">
        <v>788</v>
      </c>
      <c r="C372" t="s">
        <v>44</v>
      </c>
      <c r="D372" t="s">
        <v>54</v>
      </c>
      <c r="E372" t="s">
        <v>55</v>
      </c>
      <c r="F372" t="s">
        <v>86</v>
      </c>
      <c r="G372">
        <v>4.7</v>
      </c>
      <c r="H372">
        <v>59866</v>
      </c>
      <c r="I372" t="s">
        <v>335</v>
      </c>
      <c r="J372">
        <v>100</v>
      </c>
      <c r="K372">
        <v>28.1</v>
      </c>
      <c r="L372">
        <v>88.3</v>
      </c>
      <c r="M372">
        <v>93</v>
      </c>
      <c r="N372">
        <v>83</v>
      </c>
      <c r="O372">
        <v>0</v>
      </c>
      <c r="P372">
        <v>24</v>
      </c>
      <c r="Q372" t="s">
        <v>24</v>
      </c>
      <c r="R372" t="s">
        <v>25</v>
      </c>
    </row>
    <row r="373" spans="1:18" x14ac:dyDescent="0.25">
      <c r="A373">
        <v>1372</v>
      </c>
      <c r="B373" t="s">
        <v>789</v>
      </c>
      <c r="C373" t="s">
        <v>89</v>
      </c>
      <c r="D373" t="s">
        <v>102</v>
      </c>
      <c r="E373" t="s">
        <v>152</v>
      </c>
      <c r="F373" t="s">
        <v>35</v>
      </c>
      <c r="G373">
        <v>4</v>
      </c>
      <c r="H373">
        <v>67738</v>
      </c>
      <c r="I373" t="s">
        <v>790</v>
      </c>
      <c r="J373">
        <v>97.6</v>
      </c>
      <c r="K373">
        <v>9.4</v>
      </c>
      <c r="L373">
        <v>84.1</v>
      </c>
      <c r="M373">
        <v>56</v>
      </c>
      <c r="N373">
        <v>52</v>
      </c>
      <c r="O373">
        <v>3</v>
      </c>
      <c r="P373">
        <v>2</v>
      </c>
      <c r="Q373" t="s">
        <v>42</v>
      </c>
      <c r="R373" t="s">
        <v>25</v>
      </c>
    </row>
    <row r="374" spans="1:18" x14ac:dyDescent="0.25">
      <c r="A374">
        <v>1373</v>
      </c>
      <c r="B374" t="s">
        <v>791</v>
      </c>
      <c r="C374" t="s">
        <v>19</v>
      </c>
      <c r="D374" t="s">
        <v>137</v>
      </c>
      <c r="E374" t="s">
        <v>82</v>
      </c>
      <c r="F374" t="s">
        <v>22</v>
      </c>
      <c r="G374">
        <v>8.1</v>
      </c>
      <c r="H374">
        <v>92325</v>
      </c>
      <c r="I374" t="s">
        <v>792</v>
      </c>
      <c r="J374">
        <v>95.6</v>
      </c>
      <c r="K374">
        <v>25.7</v>
      </c>
      <c r="L374">
        <v>80.7</v>
      </c>
      <c r="M374">
        <v>112</v>
      </c>
      <c r="N374">
        <v>83</v>
      </c>
      <c r="O374">
        <v>2</v>
      </c>
      <c r="P374">
        <v>16</v>
      </c>
      <c r="Q374" t="s">
        <v>37</v>
      </c>
      <c r="R374" t="s">
        <v>25</v>
      </c>
    </row>
    <row r="375" spans="1:18" x14ac:dyDescent="0.25">
      <c r="A375">
        <v>1374</v>
      </c>
      <c r="B375" t="s">
        <v>793</v>
      </c>
      <c r="C375" t="s">
        <v>32</v>
      </c>
      <c r="D375" t="s">
        <v>33</v>
      </c>
      <c r="E375" t="s">
        <v>34</v>
      </c>
      <c r="F375" t="s">
        <v>35</v>
      </c>
      <c r="G375">
        <v>6.9</v>
      </c>
      <c r="H375">
        <v>83165</v>
      </c>
      <c r="I375" t="s">
        <v>794</v>
      </c>
      <c r="J375">
        <v>92.5</v>
      </c>
      <c r="K375">
        <v>13.8</v>
      </c>
      <c r="L375">
        <v>85.5</v>
      </c>
      <c r="M375">
        <v>97</v>
      </c>
      <c r="N375">
        <v>83</v>
      </c>
      <c r="O375">
        <v>0</v>
      </c>
      <c r="P375">
        <v>23</v>
      </c>
      <c r="Q375" t="s">
        <v>24</v>
      </c>
      <c r="R375" t="s">
        <v>25</v>
      </c>
    </row>
    <row r="376" spans="1:18" x14ac:dyDescent="0.25">
      <c r="A376">
        <v>1375</v>
      </c>
      <c r="B376" t="s">
        <v>795</v>
      </c>
      <c r="C376" t="s">
        <v>19</v>
      </c>
      <c r="D376" t="s">
        <v>20</v>
      </c>
      <c r="E376" t="s">
        <v>21</v>
      </c>
      <c r="F376" t="s">
        <v>40</v>
      </c>
      <c r="G376">
        <v>3.7</v>
      </c>
      <c r="H376">
        <v>55260</v>
      </c>
      <c r="I376" t="s">
        <v>517</v>
      </c>
      <c r="J376">
        <v>89.4</v>
      </c>
      <c r="K376">
        <v>16</v>
      </c>
      <c r="L376">
        <v>83.1</v>
      </c>
      <c r="M376">
        <v>97</v>
      </c>
      <c r="N376">
        <v>75</v>
      </c>
      <c r="O376">
        <v>5</v>
      </c>
      <c r="P376">
        <v>14</v>
      </c>
      <c r="Q376" t="s">
        <v>24</v>
      </c>
      <c r="R376" t="s">
        <v>25</v>
      </c>
    </row>
    <row r="377" spans="1:18" x14ac:dyDescent="0.25">
      <c r="A377">
        <v>1376</v>
      </c>
      <c r="B377" t="s">
        <v>796</v>
      </c>
      <c r="C377" t="s">
        <v>27</v>
      </c>
      <c r="D377" t="s">
        <v>28</v>
      </c>
      <c r="E377" t="s">
        <v>85</v>
      </c>
      <c r="F377" t="s">
        <v>22</v>
      </c>
      <c r="G377">
        <v>5.7</v>
      </c>
      <c r="H377">
        <v>62698</v>
      </c>
      <c r="I377" t="s">
        <v>797</v>
      </c>
      <c r="J377">
        <v>93.3</v>
      </c>
      <c r="K377">
        <v>27.2</v>
      </c>
      <c r="L377">
        <v>82.3</v>
      </c>
      <c r="M377">
        <v>58</v>
      </c>
      <c r="N377">
        <v>49</v>
      </c>
      <c r="O377">
        <v>2</v>
      </c>
      <c r="P377">
        <v>10</v>
      </c>
      <c r="Q377" t="s">
        <v>24</v>
      </c>
      <c r="R377" t="s">
        <v>25</v>
      </c>
    </row>
    <row r="378" spans="1:18" x14ac:dyDescent="0.25">
      <c r="A378">
        <v>1377</v>
      </c>
      <c r="B378" t="s">
        <v>798</v>
      </c>
      <c r="C378" t="s">
        <v>44</v>
      </c>
      <c r="D378" t="s">
        <v>54</v>
      </c>
      <c r="E378" t="s">
        <v>55</v>
      </c>
      <c r="F378" t="s">
        <v>76</v>
      </c>
      <c r="G378">
        <v>3</v>
      </c>
      <c r="H378">
        <v>48311</v>
      </c>
      <c r="I378" t="s">
        <v>799</v>
      </c>
      <c r="J378">
        <v>90.8</v>
      </c>
      <c r="K378">
        <v>16.8</v>
      </c>
      <c r="L378">
        <v>75.400000000000006</v>
      </c>
      <c r="M378">
        <v>95</v>
      </c>
      <c r="N378">
        <v>74</v>
      </c>
      <c r="O378">
        <v>2</v>
      </c>
      <c r="P378">
        <v>20</v>
      </c>
      <c r="Q378" t="s">
        <v>37</v>
      </c>
      <c r="R378" t="s">
        <v>57</v>
      </c>
    </row>
    <row r="379" spans="1:18" x14ac:dyDescent="0.25">
      <c r="A379">
        <v>1378</v>
      </c>
      <c r="B379" t="s">
        <v>800</v>
      </c>
      <c r="C379" t="s">
        <v>32</v>
      </c>
      <c r="D379" t="s">
        <v>67</v>
      </c>
      <c r="E379" t="s">
        <v>94</v>
      </c>
      <c r="F379" t="s">
        <v>76</v>
      </c>
      <c r="G379">
        <v>7.2</v>
      </c>
      <c r="H379">
        <v>75362</v>
      </c>
      <c r="I379" t="s">
        <v>801</v>
      </c>
      <c r="J379">
        <v>95.1</v>
      </c>
      <c r="K379">
        <v>17.5</v>
      </c>
      <c r="L379">
        <v>83.5</v>
      </c>
      <c r="M379">
        <v>78</v>
      </c>
      <c r="N379">
        <v>70</v>
      </c>
      <c r="O379">
        <v>3</v>
      </c>
      <c r="P379">
        <v>5</v>
      </c>
      <c r="Q379" t="s">
        <v>42</v>
      </c>
      <c r="R379" t="s">
        <v>25</v>
      </c>
    </row>
    <row r="380" spans="1:18" x14ac:dyDescent="0.25">
      <c r="A380">
        <v>1379</v>
      </c>
      <c r="B380" t="s">
        <v>802</v>
      </c>
      <c r="C380" t="s">
        <v>44</v>
      </c>
      <c r="D380" t="s">
        <v>54</v>
      </c>
      <c r="E380" t="s">
        <v>97</v>
      </c>
      <c r="F380" t="s">
        <v>40</v>
      </c>
      <c r="G380">
        <v>1.3</v>
      </c>
      <c r="H380">
        <v>45137</v>
      </c>
      <c r="I380" t="s">
        <v>803</v>
      </c>
      <c r="J380">
        <v>88.6</v>
      </c>
      <c r="K380">
        <v>27.2</v>
      </c>
      <c r="L380">
        <v>64.900000000000006</v>
      </c>
      <c r="M380">
        <v>113</v>
      </c>
      <c r="N380">
        <v>78</v>
      </c>
      <c r="O380">
        <v>6</v>
      </c>
      <c r="P380">
        <v>14</v>
      </c>
      <c r="Q380" t="s">
        <v>37</v>
      </c>
      <c r="R380" t="s">
        <v>203</v>
      </c>
    </row>
    <row r="381" spans="1:18" x14ac:dyDescent="0.25">
      <c r="A381">
        <v>1380</v>
      </c>
      <c r="B381" t="s">
        <v>804</v>
      </c>
      <c r="C381" t="s">
        <v>27</v>
      </c>
      <c r="D381" t="s">
        <v>64</v>
      </c>
      <c r="E381" t="s">
        <v>85</v>
      </c>
      <c r="F381" t="s">
        <v>22</v>
      </c>
      <c r="G381">
        <v>7.1</v>
      </c>
      <c r="H381">
        <v>78894</v>
      </c>
      <c r="I381" t="s">
        <v>805</v>
      </c>
      <c r="J381">
        <v>91.7</v>
      </c>
      <c r="K381">
        <v>22.6</v>
      </c>
      <c r="L381">
        <v>82.5</v>
      </c>
      <c r="M381">
        <v>81</v>
      </c>
      <c r="N381">
        <v>66</v>
      </c>
      <c r="O381">
        <v>3</v>
      </c>
      <c r="P381">
        <v>3</v>
      </c>
      <c r="Q381" t="s">
        <v>42</v>
      </c>
      <c r="R381" t="s">
        <v>25</v>
      </c>
    </row>
    <row r="382" spans="1:18" x14ac:dyDescent="0.25">
      <c r="A382">
        <v>1381</v>
      </c>
      <c r="B382" t="s">
        <v>806</v>
      </c>
      <c r="C382" t="s">
        <v>49</v>
      </c>
      <c r="D382" t="s">
        <v>59</v>
      </c>
      <c r="E382" t="s">
        <v>60</v>
      </c>
      <c r="F382" t="s">
        <v>86</v>
      </c>
      <c r="G382">
        <v>5.0999999999999996</v>
      </c>
      <c r="H382">
        <v>77933</v>
      </c>
      <c r="I382" t="s">
        <v>807</v>
      </c>
      <c r="J382">
        <v>88.5</v>
      </c>
      <c r="K382">
        <v>9.6999999999999993</v>
      </c>
      <c r="L382">
        <v>81.8</v>
      </c>
      <c r="M382">
        <v>73</v>
      </c>
      <c r="N382">
        <v>60</v>
      </c>
      <c r="O382">
        <v>3</v>
      </c>
      <c r="P382">
        <v>11</v>
      </c>
      <c r="Q382" t="s">
        <v>42</v>
      </c>
      <c r="R382" t="s">
        <v>25</v>
      </c>
    </row>
    <row r="383" spans="1:18" x14ac:dyDescent="0.25">
      <c r="A383">
        <v>1382</v>
      </c>
      <c r="B383" t="s">
        <v>808</v>
      </c>
      <c r="C383" t="s">
        <v>19</v>
      </c>
      <c r="D383" t="s">
        <v>81</v>
      </c>
      <c r="E383" t="s">
        <v>39</v>
      </c>
      <c r="F383" t="s">
        <v>35</v>
      </c>
      <c r="G383">
        <v>2</v>
      </c>
      <c r="H383">
        <v>35526</v>
      </c>
      <c r="I383" t="s">
        <v>809</v>
      </c>
      <c r="J383">
        <v>90.8</v>
      </c>
      <c r="K383">
        <v>16.5</v>
      </c>
      <c r="L383">
        <v>83.4</v>
      </c>
      <c r="M383">
        <v>68</v>
      </c>
      <c r="N383">
        <v>60</v>
      </c>
      <c r="O383">
        <v>3</v>
      </c>
      <c r="P383">
        <v>22</v>
      </c>
      <c r="Q383" t="s">
        <v>24</v>
      </c>
      <c r="R383" t="s">
        <v>25</v>
      </c>
    </row>
    <row r="384" spans="1:18" x14ac:dyDescent="0.25">
      <c r="A384">
        <v>1383</v>
      </c>
      <c r="B384" t="s">
        <v>810</v>
      </c>
      <c r="C384" t="s">
        <v>19</v>
      </c>
      <c r="D384" t="s">
        <v>20</v>
      </c>
      <c r="E384" t="s">
        <v>39</v>
      </c>
      <c r="F384" t="s">
        <v>76</v>
      </c>
      <c r="G384">
        <v>7</v>
      </c>
      <c r="H384">
        <v>88182</v>
      </c>
      <c r="I384" t="s">
        <v>811</v>
      </c>
      <c r="J384">
        <v>87.6</v>
      </c>
      <c r="K384">
        <v>17.7</v>
      </c>
      <c r="L384">
        <v>77.099999999999994</v>
      </c>
      <c r="M384">
        <v>91</v>
      </c>
      <c r="N384">
        <v>71</v>
      </c>
      <c r="O384">
        <v>8</v>
      </c>
      <c r="P384">
        <v>12</v>
      </c>
      <c r="Q384" t="s">
        <v>37</v>
      </c>
      <c r="R384" t="s">
        <v>57</v>
      </c>
    </row>
    <row r="385" spans="1:18" x14ac:dyDescent="0.25">
      <c r="A385">
        <v>1384</v>
      </c>
      <c r="B385" t="s">
        <v>812</v>
      </c>
      <c r="C385" t="s">
        <v>49</v>
      </c>
      <c r="D385" t="s">
        <v>59</v>
      </c>
      <c r="E385" t="s">
        <v>163</v>
      </c>
      <c r="F385" t="s">
        <v>103</v>
      </c>
      <c r="G385">
        <v>5.0999999999999996</v>
      </c>
      <c r="H385">
        <v>65163</v>
      </c>
      <c r="I385" t="s">
        <v>813</v>
      </c>
      <c r="J385">
        <v>89.4</v>
      </c>
      <c r="K385">
        <v>14.1</v>
      </c>
      <c r="L385">
        <v>74.3</v>
      </c>
      <c r="M385">
        <v>49</v>
      </c>
      <c r="N385">
        <v>30</v>
      </c>
      <c r="O385">
        <v>6</v>
      </c>
      <c r="P385">
        <v>11</v>
      </c>
      <c r="Q385" t="s">
        <v>24</v>
      </c>
      <c r="R385" t="s">
        <v>57</v>
      </c>
    </row>
    <row r="386" spans="1:18" x14ac:dyDescent="0.25">
      <c r="A386">
        <v>1385</v>
      </c>
      <c r="B386" t="s">
        <v>814</v>
      </c>
      <c r="C386" t="s">
        <v>44</v>
      </c>
      <c r="D386" t="s">
        <v>54</v>
      </c>
      <c r="E386" t="s">
        <v>55</v>
      </c>
      <c r="F386" t="s">
        <v>86</v>
      </c>
      <c r="G386">
        <v>2.1</v>
      </c>
      <c r="H386">
        <v>43830</v>
      </c>
      <c r="I386" t="s">
        <v>815</v>
      </c>
      <c r="J386">
        <v>91.4</v>
      </c>
      <c r="K386">
        <v>22.8</v>
      </c>
      <c r="L386">
        <v>80.3</v>
      </c>
      <c r="M386">
        <v>73</v>
      </c>
      <c r="N386">
        <v>63</v>
      </c>
      <c r="O386">
        <v>4</v>
      </c>
      <c r="P386">
        <v>21</v>
      </c>
      <c r="Q386" t="s">
        <v>37</v>
      </c>
      <c r="R386" t="s">
        <v>25</v>
      </c>
    </row>
    <row r="387" spans="1:18" x14ac:dyDescent="0.25">
      <c r="A387">
        <v>1386</v>
      </c>
      <c r="B387" t="s">
        <v>816</v>
      </c>
      <c r="C387" t="s">
        <v>49</v>
      </c>
      <c r="D387" t="s">
        <v>50</v>
      </c>
      <c r="E387" t="s">
        <v>51</v>
      </c>
      <c r="F387" t="s">
        <v>22</v>
      </c>
      <c r="G387">
        <v>3.6</v>
      </c>
      <c r="H387">
        <v>58497</v>
      </c>
      <c r="I387" t="s">
        <v>817</v>
      </c>
      <c r="J387">
        <v>86.7</v>
      </c>
      <c r="K387">
        <v>12.8</v>
      </c>
      <c r="L387">
        <v>81.3</v>
      </c>
      <c r="M387">
        <v>84</v>
      </c>
      <c r="N387">
        <v>67</v>
      </c>
      <c r="O387">
        <v>5</v>
      </c>
      <c r="P387">
        <v>16</v>
      </c>
      <c r="Q387" t="s">
        <v>42</v>
      </c>
      <c r="R387" t="s">
        <v>25</v>
      </c>
    </row>
    <row r="388" spans="1:18" x14ac:dyDescent="0.25">
      <c r="A388">
        <v>1387</v>
      </c>
      <c r="B388" t="s">
        <v>818</v>
      </c>
      <c r="C388" t="s">
        <v>19</v>
      </c>
      <c r="D388" t="s">
        <v>81</v>
      </c>
      <c r="E388" t="s">
        <v>82</v>
      </c>
      <c r="F388" t="s">
        <v>35</v>
      </c>
      <c r="G388">
        <v>4</v>
      </c>
      <c r="H388">
        <v>65997</v>
      </c>
      <c r="I388" t="s">
        <v>819</v>
      </c>
      <c r="J388">
        <v>86.4</v>
      </c>
      <c r="K388">
        <v>0</v>
      </c>
      <c r="L388">
        <v>83.7</v>
      </c>
      <c r="M388">
        <v>79</v>
      </c>
      <c r="N388">
        <v>65</v>
      </c>
      <c r="O388">
        <v>3</v>
      </c>
      <c r="P388">
        <v>20</v>
      </c>
      <c r="Q388" t="s">
        <v>24</v>
      </c>
      <c r="R388" t="s">
        <v>25</v>
      </c>
    </row>
    <row r="389" spans="1:18" x14ac:dyDescent="0.25">
      <c r="A389">
        <v>1388</v>
      </c>
      <c r="B389" t="s">
        <v>820</v>
      </c>
      <c r="C389" t="s">
        <v>19</v>
      </c>
      <c r="D389" t="s">
        <v>137</v>
      </c>
      <c r="E389" t="s">
        <v>21</v>
      </c>
      <c r="F389" t="s">
        <v>86</v>
      </c>
      <c r="G389">
        <v>7.3</v>
      </c>
      <c r="H389">
        <v>92177</v>
      </c>
      <c r="I389" t="s">
        <v>821</v>
      </c>
      <c r="J389">
        <v>82.9</v>
      </c>
      <c r="K389">
        <v>14.7</v>
      </c>
      <c r="L389">
        <v>90</v>
      </c>
      <c r="M389">
        <v>107</v>
      </c>
      <c r="N389">
        <v>97</v>
      </c>
      <c r="O389">
        <v>1</v>
      </c>
      <c r="P389">
        <v>15</v>
      </c>
      <c r="Q389" t="s">
        <v>24</v>
      </c>
      <c r="R389" t="s">
        <v>62</v>
      </c>
    </row>
    <row r="390" spans="1:18" x14ac:dyDescent="0.25">
      <c r="A390">
        <v>1389</v>
      </c>
      <c r="B390" t="s">
        <v>822</v>
      </c>
      <c r="C390" t="s">
        <v>19</v>
      </c>
      <c r="D390" t="s">
        <v>81</v>
      </c>
      <c r="E390" t="s">
        <v>82</v>
      </c>
      <c r="F390" t="s">
        <v>76</v>
      </c>
      <c r="G390">
        <v>2.6</v>
      </c>
      <c r="H390">
        <v>41736</v>
      </c>
      <c r="I390" t="s">
        <v>780</v>
      </c>
      <c r="J390">
        <v>94.7</v>
      </c>
      <c r="K390">
        <v>28.1</v>
      </c>
      <c r="L390">
        <v>87.6</v>
      </c>
      <c r="M390">
        <v>93</v>
      </c>
      <c r="N390">
        <v>86</v>
      </c>
      <c r="O390">
        <v>1</v>
      </c>
      <c r="P390">
        <v>13</v>
      </c>
      <c r="Q390" t="s">
        <v>37</v>
      </c>
      <c r="R390" t="s">
        <v>25</v>
      </c>
    </row>
    <row r="391" spans="1:18" x14ac:dyDescent="0.25">
      <c r="A391">
        <v>1390</v>
      </c>
      <c r="B391" t="s">
        <v>823</v>
      </c>
      <c r="C391" t="s">
        <v>19</v>
      </c>
      <c r="D391" t="s">
        <v>20</v>
      </c>
      <c r="E391" t="s">
        <v>82</v>
      </c>
      <c r="F391" t="s">
        <v>40</v>
      </c>
      <c r="G391">
        <v>3.6</v>
      </c>
      <c r="H391">
        <v>70962</v>
      </c>
      <c r="I391" t="s">
        <v>824</v>
      </c>
      <c r="J391">
        <v>91.6</v>
      </c>
      <c r="K391">
        <v>24.3</v>
      </c>
      <c r="L391">
        <v>83.4</v>
      </c>
      <c r="M391">
        <v>110</v>
      </c>
      <c r="N391">
        <v>85</v>
      </c>
      <c r="O391">
        <v>1</v>
      </c>
      <c r="P391">
        <v>14</v>
      </c>
      <c r="Q391" t="s">
        <v>24</v>
      </c>
      <c r="R391" t="s">
        <v>25</v>
      </c>
    </row>
    <row r="392" spans="1:18" x14ac:dyDescent="0.25">
      <c r="A392">
        <v>1391</v>
      </c>
      <c r="B392" t="s">
        <v>825</v>
      </c>
      <c r="C392" t="s">
        <v>19</v>
      </c>
      <c r="D392" t="s">
        <v>81</v>
      </c>
      <c r="E392" t="s">
        <v>21</v>
      </c>
      <c r="F392" t="s">
        <v>40</v>
      </c>
      <c r="G392">
        <v>6.3</v>
      </c>
      <c r="H392">
        <v>84262</v>
      </c>
      <c r="I392" t="s">
        <v>826</v>
      </c>
      <c r="J392">
        <v>96.8</v>
      </c>
      <c r="K392">
        <v>8.1999999999999993</v>
      </c>
      <c r="L392">
        <v>81.8</v>
      </c>
      <c r="M392">
        <v>63</v>
      </c>
      <c r="N392">
        <v>43</v>
      </c>
      <c r="O392">
        <v>1</v>
      </c>
      <c r="P392">
        <v>9</v>
      </c>
      <c r="Q392" t="s">
        <v>24</v>
      </c>
      <c r="R392" t="s">
        <v>25</v>
      </c>
    </row>
    <row r="393" spans="1:18" x14ac:dyDescent="0.25">
      <c r="A393">
        <v>1392</v>
      </c>
      <c r="B393" t="s">
        <v>827</v>
      </c>
      <c r="C393" t="s">
        <v>19</v>
      </c>
      <c r="D393" t="s">
        <v>137</v>
      </c>
      <c r="E393" t="s">
        <v>21</v>
      </c>
      <c r="F393" t="s">
        <v>35</v>
      </c>
      <c r="G393">
        <v>5.7</v>
      </c>
      <c r="H393">
        <v>85116</v>
      </c>
      <c r="I393" t="s">
        <v>349</v>
      </c>
      <c r="J393">
        <v>96</v>
      </c>
      <c r="K393">
        <v>8</v>
      </c>
      <c r="L393">
        <v>85</v>
      </c>
      <c r="M393">
        <v>55</v>
      </c>
      <c r="N393">
        <v>45</v>
      </c>
      <c r="O393">
        <v>0</v>
      </c>
      <c r="P393">
        <v>18</v>
      </c>
      <c r="Q393" t="s">
        <v>24</v>
      </c>
      <c r="R393" t="s">
        <v>25</v>
      </c>
    </row>
    <row r="394" spans="1:18" x14ac:dyDescent="0.25">
      <c r="A394">
        <v>1393</v>
      </c>
      <c r="B394" t="s">
        <v>828</v>
      </c>
      <c r="C394" t="s">
        <v>89</v>
      </c>
      <c r="D394" t="s">
        <v>90</v>
      </c>
      <c r="E394" t="s">
        <v>91</v>
      </c>
      <c r="F394" t="s">
        <v>40</v>
      </c>
      <c r="G394">
        <v>6.3</v>
      </c>
      <c r="H394">
        <v>68886</v>
      </c>
      <c r="I394" t="s">
        <v>829</v>
      </c>
      <c r="J394">
        <v>90.6</v>
      </c>
      <c r="K394">
        <v>1.9</v>
      </c>
      <c r="L394">
        <v>91.8</v>
      </c>
      <c r="M394">
        <v>59</v>
      </c>
      <c r="N394">
        <v>55</v>
      </c>
      <c r="O394">
        <v>0</v>
      </c>
      <c r="P394">
        <v>17</v>
      </c>
      <c r="Q394" t="s">
        <v>24</v>
      </c>
      <c r="R394" t="s">
        <v>62</v>
      </c>
    </row>
    <row r="395" spans="1:18" x14ac:dyDescent="0.25">
      <c r="A395">
        <v>1394</v>
      </c>
      <c r="B395" t="s">
        <v>830</v>
      </c>
      <c r="C395" t="s">
        <v>44</v>
      </c>
      <c r="D395" t="s">
        <v>45</v>
      </c>
      <c r="E395" t="s">
        <v>97</v>
      </c>
      <c r="F395" t="s">
        <v>103</v>
      </c>
      <c r="G395">
        <v>2</v>
      </c>
      <c r="H395">
        <v>45223</v>
      </c>
      <c r="I395" t="s">
        <v>831</v>
      </c>
      <c r="J395">
        <v>84.7</v>
      </c>
      <c r="K395">
        <v>27.2</v>
      </c>
      <c r="L395">
        <v>78.599999999999994</v>
      </c>
      <c r="M395">
        <v>90</v>
      </c>
      <c r="N395">
        <v>65</v>
      </c>
      <c r="O395">
        <v>6</v>
      </c>
      <c r="P395">
        <v>19</v>
      </c>
      <c r="Q395" t="s">
        <v>37</v>
      </c>
      <c r="R395" t="s">
        <v>57</v>
      </c>
    </row>
    <row r="396" spans="1:18" x14ac:dyDescent="0.25">
      <c r="A396">
        <v>1395</v>
      </c>
      <c r="B396" t="s">
        <v>832</v>
      </c>
      <c r="C396" t="s">
        <v>44</v>
      </c>
      <c r="D396" t="s">
        <v>54</v>
      </c>
      <c r="E396" t="s">
        <v>55</v>
      </c>
      <c r="F396" t="s">
        <v>86</v>
      </c>
      <c r="G396">
        <v>8.3000000000000007</v>
      </c>
      <c r="H396">
        <v>95766</v>
      </c>
      <c r="I396" t="s">
        <v>319</v>
      </c>
      <c r="J396">
        <v>99.6</v>
      </c>
      <c r="K396">
        <v>25.3</v>
      </c>
      <c r="L396">
        <v>80.400000000000006</v>
      </c>
      <c r="M396">
        <v>103</v>
      </c>
      <c r="N396">
        <v>83</v>
      </c>
      <c r="O396">
        <v>0</v>
      </c>
      <c r="P396">
        <v>27</v>
      </c>
      <c r="Q396" t="s">
        <v>37</v>
      </c>
      <c r="R396" t="s">
        <v>25</v>
      </c>
    </row>
    <row r="397" spans="1:18" x14ac:dyDescent="0.25">
      <c r="A397">
        <v>1396</v>
      </c>
      <c r="B397" t="s">
        <v>833</v>
      </c>
      <c r="C397" t="s">
        <v>19</v>
      </c>
      <c r="D397" t="s">
        <v>20</v>
      </c>
      <c r="E397" t="s">
        <v>82</v>
      </c>
      <c r="F397" t="s">
        <v>103</v>
      </c>
      <c r="G397">
        <v>7.1</v>
      </c>
      <c r="H397">
        <v>77606</v>
      </c>
      <c r="I397" t="s">
        <v>834</v>
      </c>
      <c r="J397">
        <v>93.8</v>
      </c>
      <c r="K397">
        <v>10.1</v>
      </c>
      <c r="L397">
        <v>90.6</v>
      </c>
      <c r="M397">
        <v>76</v>
      </c>
      <c r="N397">
        <v>59</v>
      </c>
      <c r="O397">
        <v>3</v>
      </c>
      <c r="P397">
        <v>14</v>
      </c>
      <c r="Q397" t="s">
        <v>24</v>
      </c>
      <c r="R397" t="s">
        <v>62</v>
      </c>
    </row>
    <row r="398" spans="1:18" x14ac:dyDescent="0.25">
      <c r="A398">
        <v>1397</v>
      </c>
      <c r="B398" t="s">
        <v>835</v>
      </c>
      <c r="C398" t="s">
        <v>19</v>
      </c>
      <c r="D398" t="s">
        <v>20</v>
      </c>
      <c r="E398" t="s">
        <v>39</v>
      </c>
      <c r="F398" t="s">
        <v>103</v>
      </c>
      <c r="G398">
        <v>0.5</v>
      </c>
      <c r="H398">
        <v>36538</v>
      </c>
      <c r="I398" t="s">
        <v>213</v>
      </c>
      <c r="J398">
        <v>97.7</v>
      </c>
      <c r="K398">
        <v>19.399999999999999</v>
      </c>
      <c r="L398">
        <v>89.5</v>
      </c>
      <c r="M398">
        <v>90</v>
      </c>
      <c r="N398">
        <v>81</v>
      </c>
      <c r="O398">
        <v>1</v>
      </c>
      <c r="P398">
        <v>27</v>
      </c>
      <c r="Q398" t="s">
        <v>24</v>
      </c>
      <c r="R398" t="s">
        <v>25</v>
      </c>
    </row>
    <row r="399" spans="1:18" x14ac:dyDescent="0.25">
      <c r="A399">
        <v>1398</v>
      </c>
      <c r="B399" t="s">
        <v>836</v>
      </c>
      <c r="C399" t="s">
        <v>27</v>
      </c>
      <c r="D399" t="s">
        <v>28</v>
      </c>
      <c r="E399" t="s">
        <v>85</v>
      </c>
      <c r="F399" t="s">
        <v>103</v>
      </c>
      <c r="G399">
        <v>5.4</v>
      </c>
      <c r="H399">
        <v>48944</v>
      </c>
      <c r="I399" t="s">
        <v>837</v>
      </c>
      <c r="J399">
        <v>95.1</v>
      </c>
      <c r="K399">
        <v>10.8</v>
      </c>
      <c r="L399">
        <v>100</v>
      </c>
      <c r="M399">
        <v>77</v>
      </c>
      <c r="N399">
        <v>77</v>
      </c>
      <c r="O399">
        <v>1</v>
      </c>
      <c r="P399">
        <v>11</v>
      </c>
      <c r="Q399" t="s">
        <v>42</v>
      </c>
      <c r="R399" t="s">
        <v>62</v>
      </c>
    </row>
    <row r="400" spans="1:18" x14ac:dyDescent="0.25">
      <c r="A400">
        <v>1399</v>
      </c>
      <c r="B400" t="s">
        <v>838</v>
      </c>
      <c r="C400" t="s">
        <v>19</v>
      </c>
      <c r="D400" t="s">
        <v>81</v>
      </c>
      <c r="E400" t="s">
        <v>39</v>
      </c>
      <c r="F400" t="s">
        <v>76</v>
      </c>
      <c r="G400">
        <v>4.0999999999999996</v>
      </c>
      <c r="H400">
        <v>61463</v>
      </c>
      <c r="I400" t="s">
        <v>839</v>
      </c>
      <c r="J400">
        <v>94.9</v>
      </c>
      <c r="K400">
        <v>32.700000000000003</v>
      </c>
      <c r="L400">
        <v>75.099999999999994</v>
      </c>
      <c r="M400">
        <v>97</v>
      </c>
      <c r="N400">
        <v>73</v>
      </c>
      <c r="O400">
        <v>3</v>
      </c>
      <c r="P400">
        <v>10</v>
      </c>
      <c r="Q400" t="s">
        <v>37</v>
      </c>
      <c r="R400" t="s">
        <v>57</v>
      </c>
    </row>
    <row r="401" spans="1:18" x14ac:dyDescent="0.25">
      <c r="A401">
        <v>1400</v>
      </c>
      <c r="B401" t="s">
        <v>840</v>
      </c>
      <c r="C401" t="s">
        <v>49</v>
      </c>
      <c r="D401" t="s">
        <v>178</v>
      </c>
      <c r="E401" t="s">
        <v>51</v>
      </c>
      <c r="F401" t="s">
        <v>103</v>
      </c>
      <c r="G401">
        <v>3</v>
      </c>
      <c r="H401">
        <v>51835</v>
      </c>
      <c r="I401" t="s">
        <v>841</v>
      </c>
      <c r="J401">
        <v>98.1</v>
      </c>
      <c r="K401">
        <v>27.1</v>
      </c>
      <c r="L401">
        <v>83.4</v>
      </c>
      <c r="M401">
        <v>77</v>
      </c>
      <c r="N401">
        <v>63</v>
      </c>
      <c r="O401">
        <v>3</v>
      </c>
      <c r="P401">
        <v>6</v>
      </c>
      <c r="Q401" t="s">
        <v>24</v>
      </c>
      <c r="R401" t="s">
        <v>25</v>
      </c>
    </row>
    <row r="402" spans="1:18" x14ac:dyDescent="0.25">
      <c r="A402">
        <v>1401</v>
      </c>
      <c r="B402" t="s">
        <v>842</v>
      </c>
      <c r="C402" t="s">
        <v>44</v>
      </c>
      <c r="D402" t="s">
        <v>45</v>
      </c>
      <c r="E402" t="s">
        <v>46</v>
      </c>
      <c r="F402" t="s">
        <v>103</v>
      </c>
      <c r="G402">
        <v>4.9000000000000004</v>
      </c>
      <c r="H402">
        <v>66996</v>
      </c>
      <c r="I402" t="s">
        <v>843</v>
      </c>
      <c r="J402">
        <v>95.9</v>
      </c>
      <c r="K402">
        <v>20.8</v>
      </c>
      <c r="L402">
        <v>69.599999999999994</v>
      </c>
      <c r="M402">
        <v>92</v>
      </c>
      <c r="N402">
        <v>66</v>
      </c>
      <c r="O402">
        <v>5</v>
      </c>
      <c r="P402">
        <v>12</v>
      </c>
      <c r="Q402" t="s">
        <v>37</v>
      </c>
      <c r="R402" t="s">
        <v>203</v>
      </c>
    </row>
    <row r="403" spans="1:18" x14ac:dyDescent="0.25">
      <c r="A403">
        <v>1402</v>
      </c>
      <c r="B403" t="s">
        <v>844</v>
      </c>
      <c r="C403" t="s">
        <v>27</v>
      </c>
      <c r="D403" t="s">
        <v>64</v>
      </c>
      <c r="E403" t="s">
        <v>118</v>
      </c>
      <c r="F403" t="s">
        <v>35</v>
      </c>
      <c r="G403">
        <v>4.2</v>
      </c>
      <c r="H403">
        <v>58089</v>
      </c>
      <c r="I403" t="s">
        <v>845</v>
      </c>
      <c r="J403">
        <v>100</v>
      </c>
      <c r="K403">
        <v>0.3</v>
      </c>
      <c r="L403">
        <v>94.3</v>
      </c>
      <c r="M403">
        <v>66</v>
      </c>
      <c r="N403">
        <v>62</v>
      </c>
      <c r="O403">
        <v>0</v>
      </c>
      <c r="P403">
        <v>14</v>
      </c>
      <c r="Q403" t="s">
        <v>42</v>
      </c>
      <c r="R403" t="s">
        <v>62</v>
      </c>
    </row>
    <row r="404" spans="1:18" x14ac:dyDescent="0.25">
      <c r="A404">
        <v>1403</v>
      </c>
      <c r="B404" t="s">
        <v>846</v>
      </c>
      <c r="C404" t="s">
        <v>89</v>
      </c>
      <c r="D404" t="s">
        <v>90</v>
      </c>
      <c r="E404" t="s">
        <v>152</v>
      </c>
      <c r="F404" t="s">
        <v>40</v>
      </c>
      <c r="G404">
        <v>10.4</v>
      </c>
      <c r="H404">
        <v>112970</v>
      </c>
      <c r="I404" t="s">
        <v>847</v>
      </c>
      <c r="J404">
        <v>92.2</v>
      </c>
      <c r="K404">
        <v>15.7</v>
      </c>
      <c r="L404">
        <v>97.7</v>
      </c>
      <c r="M404">
        <v>100</v>
      </c>
      <c r="N404">
        <v>100</v>
      </c>
      <c r="O404">
        <v>2</v>
      </c>
      <c r="P404">
        <v>23</v>
      </c>
      <c r="Q404" t="s">
        <v>42</v>
      </c>
      <c r="R404" t="s">
        <v>62</v>
      </c>
    </row>
    <row r="405" spans="1:18" x14ac:dyDescent="0.25">
      <c r="A405">
        <v>1404</v>
      </c>
      <c r="B405" t="s">
        <v>848</v>
      </c>
      <c r="C405" t="s">
        <v>49</v>
      </c>
      <c r="D405" t="s">
        <v>50</v>
      </c>
      <c r="E405" t="s">
        <v>163</v>
      </c>
      <c r="F405" t="s">
        <v>86</v>
      </c>
      <c r="G405">
        <v>4</v>
      </c>
      <c r="H405">
        <v>60205</v>
      </c>
      <c r="I405" t="s">
        <v>849</v>
      </c>
      <c r="J405">
        <v>97.8</v>
      </c>
      <c r="K405">
        <v>13.3</v>
      </c>
      <c r="L405">
        <v>84.7</v>
      </c>
      <c r="M405">
        <v>65</v>
      </c>
      <c r="N405">
        <v>57</v>
      </c>
      <c r="O405">
        <v>3</v>
      </c>
      <c r="P405">
        <v>12</v>
      </c>
      <c r="Q405" t="s">
        <v>42</v>
      </c>
      <c r="R405" t="s">
        <v>25</v>
      </c>
    </row>
    <row r="406" spans="1:18" x14ac:dyDescent="0.25">
      <c r="A406">
        <v>1405</v>
      </c>
      <c r="B406" t="s">
        <v>850</v>
      </c>
      <c r="C406" t="s">
        <v>32</v>
      </c>
      <c r="D406" t="s">
        <v>33</v>
      </c>
      <c r="E406" t="s">
        <v>128</v>
      </c>
      <c r="F406" t="s">
        <v>22</v>
      </c>
      <c r="G406">
        <v>7.3</v>
      </c>
      <c r="H406">
        <v>84244</v>
      </c>
      <c r="I406" t="s">
        <v>851</v>
      </c>
      <c r="J406">
        <v>92.7</v>
      </c>
      <c r="K406">
        <v>26.4</v>
      </c>
      <c r="L406">
        <v>77.3</v>
      </c>
      <c r="M406">
        <v>114</v>
      </c>
      <c r="N406">
        <v>69</v>
      </c>
      <c r="O406">
        <v>4</v>
      </c>
      <c r="P406">
        <v>14</v>
      </c>
      <c r="Q406" t="s">
        <v>24</v>
      </c>
      <c r="R406" t="s">
        <v>57</v>
      </c>
    </row>
    <row r="407" spans="1:18" x14ac:dyDescent="0.25">
      <c r="A407">
        <v>1406</v>
      </c>
      <c r="B407" t="s">
        <v>852</v>
      </c>
      <c r="C407" t="s">
        <v>19</v>
      </c>
      <c r="D407" t="s">
        <v>20</v>
      </c>
      <c r="E407" t="s">
        <v>39</v>
      </c>
      <c r="F407" t="s">
        <v>35</v>
      </c>
      <c r="G407">
        <v>7.6</v>
      </c>
      <c r="H407">
        <v>94158</v>
      </c>
      <c r="I407" t="s">
        <v>853</v>
      </c>
      <c r="J407">
        <v>92.1</v>
      </c>
      <c r="K407">
        <v>17</v>
      </c>
      <c r="L407">
        <v>83</v>
      </c>
      <c r="M407">
        <v>56</v>
      </c>
      <c r="N407">
        <v>45</v>
      </c>
      <c r="O407">
        <v>4</v>
      </c>
      <c r="P407">
        <v>11</v>
      </c>
      <c r="Q407" t="s">
        <v>24</v>
      </c>
      <c r="R407" t="s">
        <v>25</v>
      </c>
    </row>
    <row r="408" spans="1:18" x14ac:dyDescent="0.25">
      <c r="A408">
        <v>1407</v>
      </c>
      <c r="B408" t="s">
        <v>854</v>
      </c>
      <c r="C408" t="s">
        <v>32</v>
      </c>
      <c r="D408" t="s">
        <v>33</v>
      </c>
      <c r="E408" t="s">
        <v>34</v>
      </c>
      <c r="F408" t="s">
        <v>22</v>
      </c>
      <c r="G408">
        <v>5.5</v>
      </c>
      <c r="H408">
        <v>85967</v>
      </c>
      <c r="I408" t="s">
        <v>855</v>
      </c>
      <c r="J408">
        <v>91.3</v>
      </c>
      <c r="K408">
        <v>23.1</v>
      </c>
      <c r="L408">
        <v>86.5</v>
      </c>
      <c r="M408">
        <v>106</v>
      </c>
      <c r="N408">
        <v>103</v>
      </c>
      <c r="O408">
        <v>3</v>
      </c>
      <c r="P408">
        <v>19</v>
      </c>
      <c r="Q408" t="s">
        <v>24</v>
      </c>
      <c r="R408" t="s">
        <v>25</v>
      </c>
    </row>
    <row r="409" spans="1:18" x14ac:dyDescent="0.25">
      <c r="A409">
        <v>1408</v>
      </c>
      <c r="B409" t="s">
        <v>856</v>
      </c>
      <c r="C409" t="s">
        <v>89</v>
      </c>
      <c r="D409" t="s">
        <v>102</v>
      </c>
      <c r="E409" t="s">
        <v>111</v>
      </c>
      <c r="F409" t="s">
        <v>103</v>
      </c>
      <c r="G409">
        <v>6.1</v>
      </c>
      <c r="H409">
        <v>71622</v>
      </c>
      <c r="I409" t="s">
        <v>857</v>
      </c>
      <c r="J409">
        <v>84</v>
      </c>
      <c r="K409">
        <v>5.4</v>
      </c>
      <c r="L409">
        <v>81</v>
      </c>
      <c r="M409">
        <v>83</v>
      </c>
      <c r="N409">
        <v>68</v>
      </c>
      <c r="O409">
        <v>5</v>
      </c>
      <c r="P409">
        <v>7</v>
      </c>
      <c r="Q409" t="s">
        <v>24</v>
      </c>
      <c r="R409" t="s">
        <v>25</v>
      </c>
    </row>
    <row r="410" spans="1:18" x14ac:dyDescent="0.25">
      <c r="A410">
        <v>1409</v>
      </c>
      <c r="B410" t="s">
        <v>858</v>
      </c>
      <c r="C410" t="s">
        <v>27</v>
      </c>
      <c r="D410" t="s">
        <v>28</v>
      </c>
      <c r="E410" t="s">
        <v>85</v>
      </c>
      <c r="F410" t="s">
        <v>22</v>
      </c>
      <c r="G410">
        <v>7.1</v>
      </c>
      <c r="H410">
        <v>77351</v>
      </c>
      <c r="I410" t="s">
        <v>859</v>
      </c>
      <c r="J410">
        <v>90.8</v>
      </c>
      <c r="K410">
        <v>16.3</v>
      </c>
      <c r="L410">
        <v>84.7</v>
      </c>
      <c r="M410">
        <v>84</v>
      </c>
      <c r="N410">
        <v>77</v>
      </c>
      <c r="O410">
        <v>5</v>
      </c>
      <c r="P410">
        <v>13</v>
      </c>
      <c r="Q410" t="s">
        <v>42</v>
      </c>
      <c r="R410" t="s">
        <v>25</v>
      </c>
    </row>
    <row r="411" spans="1:18" x14ac:dyDescent="0.25">
      <c r="A411">
        <v>1410</v>
      </c>
      <c r="B411" t="s">
        <v>860</v>
      </c>
      <c r="C411" t="s">
        <v>44</v>
      </c>
      <c r="D411" t="s">
        <v>70</v>
      </c>
      <c r="E411" t="s">
        <v>46</v>
      </c>
      <c r="F411" t="s">
        <v>22</v>
      </c>
      <c r="G411">
        <v>5.2</v>
      </c>
      <c r="H411">
        <v>65468</v>
      </c>
      <c r="I411" t="s">
        <v>861</v>
      </c>
      <c r="J411">
        <v>94.1</v>
      </c>
      <c r="K411">
        <v>10.5</v>
      </c>
      <c r="L411">
        <v>75.599999999999994</v>
      </c>
      <c r="M411">
        <v>78</v>
      </c>
      <c r="N411">
        <v>62</v>
      </c>
      <c r="O411">
        <v>1</v>
      </c>
      <c r="P411">
        <v>16</v>
      </c>
      <c r="Q411" t="s">
        <v>37</v>
      </c>
      <c r="R411" t="s">
        <v>57</v>
      </c>
    </row>
    <row r="412" spans="1:18" x14ac:dyDescent="0.25">
      <c r="A412">
        <v>1411</v>
      </c>
      <c r="B412" t="s">
        <v>862</v>
      </c>
      <c r="C412" t="s">
        <v>32</v>
      </c>
      <c r="D412" t="s">
        <v>33</v>
      </c>
      <c r="E412" t="s">
        <v>34</v>
      </c>
      <c r="F412" t="s">
        <v>35</v>
      </c>
      <c r="G412">
        <v>7.9</v>
      </c>
      <c r="H412">
        <v>91778</v>
      </c>
      <c r="I412" t="s">
        <v>863</v>
      </c>
      <c r="J412">
        <v>89.1</v>
      </c>
      <c r="K412">
        <v>20.6</v>
      </c>
      <c r="L412">
        <v>86.4</v>
      </c>
      <c r="M412">
        <v>92</v>
      </c>
      <c r="N412">
        <v>71</v>
      </c>
      <c r="O412">
        <v>4</v>
      </c>
      <c r="P412">
        <v>15</v>
      </c>
      <c r="Q412" t="s">
        <v>24</v>
      </c>
      <c r="R412" t="s">
        <v>25</v>
      </c>
    </row>
    <row r="413" spans="1:18" x14ac:dyDescent="0.25">
      <c r="A413">
        <v>1412</v>
      </c>
      <c r="B413" t="s">
        <v>864</v>
      </c>
      <c r="C413" t="s">
        <v>32</v>
      </c>
      <c r="D413" t="s">
        <v>33</v>
      </c>
      <c r="E413" t="s">
        <v>34</v>
      </c>
      <c r="F413" t="s">
        <v>22</v>
      </c>
      <c r="G413">
        <v>8.5</v>
      </c>
      <c r="H413">
        <v>87688</v>
      </c>
      <c r="I413" t="s">
        <v>865</v>
      </c>
      <c r="J413">
        <v>92.9</v>
      </c>
      <c r="K413">
        <v>29.6</v>
      </c>
      <c r="L413">
        <v>85.8</v>
      </c>
      <c r="M413">
        <v>78</v>
      </c>
      <c r="N413">
        <v>67</v>
      </c>
      <c r="O413">
        <v>0</v>
      </c>
      <c r="P413">
        <v>17</v>
      </c>
      <c r="Q413" t="s">
        <v>24</v>
      </c>
      <c r="R413" t="s">
        <v>25</v>
      </c>
    </row>
    <row r="414" spans="1:18" x14ac:dyDescent="0.25">
      <c r="A414">
        <v>1413</v>
      </c>
      <c r="B414" t="s">
        <v>866</v>
      </c>
      <c r="C414" t="s">
        <v>27</v>
      </c>
      <c r="D414" t="s">
        <v>28</v>
      </c>
      <c r="E414" t="s">
        <v>118</v>
      </c>
      <c r="F414" t="s">
        <v>35</v>
      </c>
      <c r="G414">
        <v>5.8</v>
      </c>
      <c r="H414">
        <v>90386</v>
      </c>
      <c r="I414" t="s">
        <v>867</v>
      </c>
      <c r="J414">
        <v>94.5</v>
      </c>
      <c r="K414">
        <v>15.3</v>
      </c>
      <c r="L414">
        <v>87.6</v>
      </c>
      <c r="M414">
        <v>58</v>
      </c>
      <c r="N414">
        <v>52</v>
      </c>
      <c r="O414">
        <v>2</v>
      </c>
      <c r="P414">
        <v>7</v>
      </c>
      <c r="Q414" t="s">
        <v>42</v>
      </c>
      <c r="R414" t="s">
        <v>25</v>
      </c>
    </row>
    <row r="415" spans="1:18" x14ac:dyDescent="0.25">
      <c r="A415">
        <v>1414</v>
      </c>
      <c r="B415" t="s">
        <v>868</v>
      </c>
      <c r="C415" t="s">
        <v>32</v>
      </c>
      <c r="D415" t="s">
        <v>106</v>
      </c>
      <c r="E415" t="s">
        <v>94</v>
      </c>
      <c r="F415" t="s">
        <v>103</v>
      </c>
      <c r="G415">
        <v>7</v>
      </c>
      <c r="H415">
        <v>86729</v>
      </c>
      <c r="I415" t="s">
        <v>869</v>
      </c>
      <c r="J415">
        <v>89.5</v>
      </c>
      <c r="K415">
        <v>24.4</v>
      </c>
      <c r="L415">
        <v>75.400000000000006</v>
      </c>
      <c r="M415">
        <v>118</v>
      </c>
      <c r="N415">
        <v>92</v>
      </c>
      <c r="O415">
        <v>4</v>
      </c>
      <c r="P415">
        <v>11</v>
      </c>
      <c r="Q415" t="s">
        <v>37</v>
      </c>
      <c r="R415" t="s">
        <v>57</v>
      </c>
    </row>
    <row r="416" spans="1:18" x14ac:dyDescent="0.25">
      <c r="A416">
        <v>1415</v>
      </c>
      <c r="B416" t="s">
        <v>870</v>
      </c>
      <c r="C416" t="s">
        <v>49</v>
      </c>
      <c r="D416" t="s">
        <v>178</v>
      </c>
      <c r="E416" t="s">
        <v>60</v>
      </c>
      <c r="F416" t="s">
        <v>22</v>
      </c>
      <c r="G416">
        <v>3.1</v>
      </c>
      <c r="H416">
        <v>57690</v>
      </c>
      <c r="I416" t="s">
        <v>871</v>
      </c>
      <c r="J416">
        <v>87.4</v>
      </c>
      <c r="K416">
        <v>22</v>
      </c>
      <c r="L416">
        <v>90.7</v>
      </c>
      <c r="M416">
        <v>92</v>
      </c>
      <c r="N416">
        <v>80</v>
      </c>
      <c r="O416">
        <v>4</v>
      </c>
      <c r="P416">
        <v>17</v>
      </c>
      <c r="Q416" t="s">
        <v>24</v>
      </c>
      <c r="R416" t="s">
        <v>62</v>
      </c>
    </row>
    <row r="417" spans="1:18" x14ac:dyDescent="0.25">
      <c r="A417">
        <v>1416</v>
      </c>
      <c r="B417" t="s">
        <v>872</v>
      </c>
      <c r="C417" t="s">
        <v>27</v>
      </c>
      <c r="D417" t="s">
        <v>28</v>
      </c>
      <c r="E417" t="s">
        <v>85</v>
      </c>
      <c r="F417" t="s">
        <v>40</v>
      </c>
      <c r="G417">
        <v>4.4000000000000004</v>
      </c>
      <c r="H417">
        <v>60202</v>
      </c>
      <c r="I417" t="s">
        <v>873</v>
      </c>
      <c r="J417">
        <v>95</v>
      </c>
      <c r="K417">
        <v>17.899999999999999</v>
      </c>
      <c r="L417">
        <v>85</v>
      </c>
      <c r="M417">
        <v>67</v>
      </c>
      <c r="N417">
        <v>58</v>
      </c>
      <c r="O417">
        <v>5</v>
      </c>
      <c r="P417">
        <v>9</v>
      </c>
      <c r="Q417" t="s">
        <v>42</v>
      </c>
      <c r="R417" t="s">
        <v>25</v>
      </c>
    </row>
    <row r="418" spans="1:18" x14ac:dyDescent="0.25">
      <c r="A418">
        <v>1417</v>
      </c>
      <c r="B418" t="s">
        <v>874</v>
      </c>
      <c r="C418" t="s">
        <v>49</v>
      </c>
      <c r="D418" t="s">
        <v>59</v>
      </c>
      <c r="E418" t="s">
        <v>51</v>
      </c>
      <c r="F418" t="s">
        <v>103</v>
      </c>
      <c r="G418">
        <v>1.2</v>
      </c>
      <c r="H418">
        <v>47527</v>
      </c>
      <c r="I418" t="s">
        <v>875</v>
      </c>
      <c r="J418">
        <v>88.2</v>
      </c>
      <c r="K418">
        <v>0.8</v>
      </c>
      <c r="L418">
        <v>82.7</v>
      </c>
      <c r="M418">
        <v>53</v>
      </c>
      <c r="N418">
        <v>48</v>
      </c>
      <c r="O418">
        <v>5</v>
      </c>
      <c r="P418">
        <v>15</v>
      </c>
      <c r="Q418" t="s">
        <v>42</v>
      </c>
      <c r="R418" t="s">
        <v>25</v>
      </c>
    </row>
    <row r="419" spans="1:18" x14ac:dyDescent="0.25">
      <c r="A419">
        <v>1418</v>
      </c>
      <c r="B419" t="s">
        <v>876</v>
      </c>
      <c r="C419" t="s">
        <v>32</v>
      </c>
      <c r="D419" t="s">
        <v>33</v>
      </c>
      <c r="E419" t="s">
        <v>94</v>
      </c>
      <c r="F419" t="s">
        <v>40</v>
      </c>
      <c r="G419">
        <v>3.9</v>
      </c>
      <c r="H419">
        <v>63573</v>
      </c>
      <c r="I419" t="s">
        <v>877</v>
      </c>
      <c r="J419">
        <v>94.7</v>
      </c>
      <c r="K419">
        <v>21</v>
      </c>
      <c r="L419">
        <v>83.1</v>
      </c>
      <c r="M419">
        <v>95</v>
      </c>
      <c r="N419">
        <v>85</v>
      </c>
      <c r="O419">
        <v>3</v>
      </c>
      <c r="P419">
        <v>19</v>
      </c>
      <c r="Q419" t="s">
        <v>24</v>
      </c>
      <c r="R419" t="s">
        <v>25</v>
      </c>
    </row>
    <row r="420" spans="1:18" x14ac:dyDescent="0.25">
      <c r="A420">
        <v>1419</v>
      </c>
      <c r="B420" t="s">
        <v>878</v>
      </c>
      <c r="C420" t="s">
        <v>89</v>
      </c>
      <c r="D420" t="s">
        <v>90</v>
      </c>
      <c r="E420" t="s">
        <v>152</v>
      </c>
      <c r="F420" t="s">
        <v>103</v>
      </c>
      <c r="G420">
        <v>5.0999999999999996</v>
      </c>
      <c r="H420">
        <v>63401</v>
      </c>
      <c r="I420" t="s">
        <v>841</v>
      </c>
      <c r="J420">
        <v>90.9</v>
      </c>
      <c r="K420">
        <v>20.5</v>
      </c>
      <c r="L420">
        <v>93.9</v>
      </c>
      <c r="M420">
        <v>89</v>
      </c>
      <c r="N420">
        <v>82</v>
      </c>
      <c r="O420">
        <v>0</v>
      </c>
      <c r="P420">
        <v>24</v>
      </c>
      <c r="Q420" t="s">
        <v>42</v>
      </c>
      <c r="R420" t="s">
        <v>62</v>
      </c>
    </row>
    <row r="421" spans="1:18" x14ac:dyDescent="0.25">
      <c r="A421">
        <v>1420</v>
      </c>
      <c r="B421" t="s">
        <v>879</v>
      </c>
      <c r="C421" t="s">
        <v>89</v>
      </c>
      <c r="D421" t="s">
        <v>90</v>
      </c>
      <c r="E421" t="s">
        <v>152</v>
      </c>
      <c r="F421" t="s">
        <v>22</v>
      </c>
      <c r="G421">
        <v>0.2</v>
      </c>
      <c r="H421">
        <v>31474</v>
      </c>
      <c r="I421" t="s">
        <v>691</v>
      </c>
      <c r="J421">
        <v>95.4</v>
      </c>
      <c r="K421">
        <v>10.8</v>
      </c>
      <c r="L421">
        <v>89.7</v>
      </c>
      <c r="M421">
        <v>65</v>
      </c>
      <c r="N421">
        <v>54</v>
      </c>
      <c r="O421">
        <v>4</v>
      </c>
      <c r="P421">
        <v>23</v>
      </c>
      <c r="Q421" t="s">
        <v>42</v>
      </c>
      <c r="R421" t="s">
        <v>25</v>
      </c>
    </row>
    <row r="422" spans="1:18" x14ac:dyDescent="0.25">
      <c r="A422">
        <v>1421</v>
      </c>
      <c r="B422" t="s">
        <v>880</v>
      </c>
      <c r="C422" t="s">
        <v>19</v>
      </c>
      <c r="D422" t="s">
        <v>81</v>
      </c>
      <c r="E422" t="s">
        <v>82</v>
      </c>
      <c r="F422" t="s">
        <v>86</v>
      </c>
      <c r="G422">
        <v>7.6</v>
      </c>
      <c r="H422">
        <v>89638</v>
      </c>
      <c r="I422" t="s">
        <v>881</v>
      </c>
      <c r="J422">
        <v>97.1</v>
      </c>
      <c r="K422">
        <v>10</v>
      </c>
      <c r="L422">
        <v>98.1</v>
      </c>
      <c r="M422">
        <v>81</v>
      </c>
      <c r="N422">
        <v>81</v>
      </c>
      <c r="O422">
        <v>3</v>
      </c>
      <c r="P422">
        <v>10</v>
      </c>
      <c r="Q422" t="s">
        <v>42</v>
      </c>
      <c r="R422" t="s">
        <v>62</v>
      </c>
    </row>
    <row r="423" spans="1:18" x14ac:dyDescent="0.25">
      <c r="A423">
        <v>1422</v>
      </c>
      <c r="B423" t="s">
        <v>882</v>
      </c>
      <c r="C423" t="s">
        <v>27</v>
      </c>
      <c r="D423" t="s">
        <v>75</v>
      </c>
      <c r="E423" t="s">
        <v>85</v>
      </c>
      <c r="F423" t="s">
        <v>35</v>
      </c>
      <c r="G423">
        <v>0.5</v>
      </c>
      <c r="H423">
        <v>31241</v>
      </c>
      <c r="I423" t="s">
        <v>883</v>
      </c>
      <c r="J423">
        <v>92</v>
      </c>
      <c r="K423">
        <v>10.1</v>
      </c>
      <c r="L423">
        <v>85.4</v>
      </c>
      <c r="M423">
        <v>61</v>
      </c>
      <c r="N423">
        <v>59</v>
      </c>
      <c r="O423">
        <v>4</v>
      </c>
      <c r="P423">
        <v>13</v>
      </c>
      <c r="Q423" t="s">
        <v>42</v>
      </c>
      <c r="R423" t="s">
        <v>25</v>
      </c>
    </row>
    <row r="424" spans="1:18" x14ac:dyDescent="0.25">
      <c r="A424">
        <v>1423</v>
      </c>
      <c r="B424" t="s">
        <v>884</v>
      </c>
      <c r="C424" t="s">
        <v>89</v>
      </c>
      <c r="D424" t="s">
        <v>102</v>
      </c>
      <c r="E424" t="s">
        <v>91</v>
      </c>
      <c r="F424" t="s">
        <v>76</v>
      </c>
      <c r="G424">
        <v>0.2</v>
      </c>
      <c r="H424">
        <v>41471</v>
      </c>
      <c r="I424" t="s">
        <v>885</v>
      </c>
      <c r="J424">
        <v>97.1</v>
      </c>
      <c r="K424">
        <v>28.1</v>
      </c>
      <c r="L424">
        <v>98.4</v>
      </c>
      <c r="M424">
        <v>111</v>
      </c>
      <c r="N424">
        <v>94</v>
      </c>
      <c r="O424">
        <v>2</v>
      </c>
      <c r="P424">
        <v>24</v>
      </c>
      <c r="Q424" t="s">
        <v>42</v>
      </c>
      <c r="R424" t="s">
        <v>62</v>
      </c>
    </row>
    <row r="425" spans="1:18" x14ac:dyDescent="0.25">
      <c r="A425">
        <v>1424</v>
      </c>
      <c r="B425" t="s">
        <v>886</v>
      </c>
      <c r="C425" t="s">
        <v>49</v>
      </c>
      <c r="D425" t="s">
        <v>50</v>
      </c>
      <c r="E425" t="s">
        <v>60</v>
      </c>
      <c r="F425" t="s">
        <v>40</v>
      </c>
      <c r="G425">
        <v>3.2</v>
      </c>
      <c r="H425">
        <v>64830</v>
      </c>
      <c r="I425" t="s">
        <v>887</v>
      </c>
      <c r="J425">
        <v>88.8</v>
      </c>
      <c r="K425">
        <v>27.5</v>
      </c>
      <c r="L425">
        <v>87.4</v>
      </c>
      <c r="M425">
        <v>73</v>
      </c>
      <c r="N425">
        <v>63</v>
      </c>
      <c r="O425">
        <v>0</v>
      </c>
      <c r="P425">
        <v>13</v>
      </c>
      <c r="Q425" t="s">
        <v>24</v>
      </c>
      <c r="R425" t="s">
        <v>25</v>
      </c>
    </row>
    <row r="426" spans="1:18" x14ac:dyDescent="0.25">
      <c r="A426">
        <v>1425</v>
      </c>
      <c r="B426" t="s">
        <v>888</v>
      </c>
      <c r="C426" t="s">
        <v>44</v>
      </c>
      <c r="D426" t="s">
        <v>70</v>
      </c>
      <c r="E426" t="s">
        <v>97</v>
      </c>
      <c r="F426" t="s">
        <v>76</v>
      </c>
      <c r="G426">
        <v>1.3</v>
      </c>
      <c r="H426">
        <v>45518</v>
      </c>
      <c r="I426" t="s">
        <v>730</v>
      </c>
      <c r="J426">
        <v>97.5</v>
      </c>
      <c r="K426">
        <v>22</v>
      </c>
      <c r="L426">
        <v>78.7</v>
      </c>
      <c r="M426">
        <v>94</v>
      </c>
      <c r="N426">
        <v>66</v>
      </c>
      <c r="O426">
        <v>0</v>
      </c>
      <c r="P426">
        <v>16</v>
      </c>
      <c r="Q426" t="s">
        <v>37</v>
      </c>
      <c r="R426" t="s">
        <v>57</v>
      </c>
    </row>
    <row r="427" spans="1:18" x14ac:dyDescent="0.25">
      <c r="A427">
        <v>1426</v>
      </c>
      <c r="B427" t="s">
        <v>889</v>
      </c>
      <c r="C427" t="s">
        <v>49</v>
      </c>
      <c r="D427" t="s">
        <v>50</v>
      </c>
      <c r="E427" t="s">
        <v>51</v>
      </c>
      <c r="F427" t="s">
        <v>103</v>
      </c>
      <c r="G427">
        <v>5.2</v>
      </c>
      <c r="H427">
        <v>79241</v>
      </c>
      <c r="I427" t="s">
        <v>890</v>
      </c>
      <c r="J427">
        <v>88.8</v>
      </c>
      <c r="K427">
        <v>14.5</v>
      </c>
      <c r="L427">
        <v>91</v>
      </c>
      <c r="M427">
        <v>60</v>
      </c>
      <c r="N427">
        <v>48</v>
      </c>
      <c r="O427">
        <v>2</v>
      </c>
      <c r="P427">
        <v>18</v>
      </c>
      <c r="Q427" t="s">
        <v>42</v>
      </c>
      <c r="R427" t="s">
        <v>62</v>
      </c>
    </row>
    <row r="428" spans="1:18" x14ac:dyDescent="0.25">
      <c r="A428">
        <v>1427</v>
      </c>
      <c r="B428" t="s">
        <v>891</v>
      </c>
      <c r="C428" t="s">
        <v>19</v>
      </c>
      <c r="D428" t="s">
        <v>20</v>
      </c>
      <c r="E428" t="s">
        <v>82</v>
      </c>
      <c r="F428" t="s">
        <v>103</v>
      </c>
      <c r="G428">
        <v>4.4000000000000004</v>
      </c>
      <c r="H428">
        <v>66157</v>
      </c>
      <c r="I428" t="s">
        <v>892</v>
      </c>
      <c r="J428">
        <v>99.2</v>
      </c>
      <c r="K428">
        <v>16.3</v>
      </c>
      <c r="L428">
        <v>92.3</v>
      </c>
      <c r="M428">
        <v>103</v>
      </c>
      <c r="N428">
        <v>95</v>
      </c>
      <c r="O428">
        <v>0</v>
      </c>
      <c r="P428">
        <v>16</v>
      </c>
      <c r="Q428" t="s">
        <v>24</v>
      </c>
      <c r="R428" t="s">
        <v>62</v>
      </c>
    </row>
    <row r="429" spans="1:18" x14ac:dyDescent="0.25">
      <c r="A429">
        <v>1428</v>
      </c>
      <c r="B429" t="s">
        <v>893</v>
      </c>
      <c r="C429" t="s">
        <v>19</v>
      </c>
      <c r="D429" t="s">
        <v>20</v>
      </c>
      <c r="E429" t="s">
        <v>82</v>
      </c>
      <c r="F429" t="s">
        <v>103</v>
      </c>
      <c r="G429">
        <v>3.5</v>
      </c>
      <c r="H429">
        <v>59130</v>
      </c>
      <c r="I429" t="s">
        <v>894</v>
      </c>
      <c r="J429">
        <v>92.8</v>
      </c>
      <c r="K429">
        <v>14.3</v>
      </c>
      <c r="L429">
        <v>78.400000000000006</v>
      </c>
      <c r="M429">
        <v>71</v>
      </c>
      <c r="N429">
        <v>52</v>
      </c>
      <c r="O429">
        <v>3</v>
      </c>
      <c r="P429">
        <v>9</v>
      </c>
      <c r="Q429" t="s">
        <v>24</v>
      </c>
      <c r="R429" t="s">
        <v>57</v>
      </c>
    </row>
    <row r="430" spans="1:18" x14ac:dyDescent="0.25">
      <c r="A430">
        <v>1429</v>
      </c>
      <c r="B430" t="s">
        <v>895</v>
      </c>
      <c r="C430" t="s">
        <v>89</v>
      </c>
      <c r="D430" t="s">
        <v>102</v>
      </c>
      <c r="E430" t="s">
        <v>152</v>
      </c>
      <c r="F430" t="s">
        <v>76</v>
      </c>
      <c r="G430">
        <v>10.5</v>
      </c>
      <c r="H430">
        <v>94427</v>
      </c>
      <c r="I430" t="s">
        <v>112</v>
      </c>
      <c r="J430">
        <v>95</v>
      </c>
      <c r="K430">
        <v>18.100000000000001</v>
      </c>
      <c r="L430">
        <v>95.1</v>
      </c>
      <c r="M430">
        <v>59</v>
      </c>
      <c r="N430">
        <v>58</v>
      </c>
      <c r="O430">
        <v>0</v>
      </c>
      <c r="P430">
        <v>17</v>
      </c>
      <c r="Q430" t="s">
        <v>42</v>
      </c>
      <c r="R430" t="s">
        <v>62</v>
      </c>
    </row>
    <row r="431" spans="1:18" x14ac:dyDescent="0.25">
      <c r="A431">
        <v>1430</v>
      </c>
      <c r="B431" t="s">
        <v>896</v>
      </c>
      <c r="C431" t="s">
        <v>32</v>
      </c>
      <c r="D431" t="s">
        <v>67</v>
      </c>
      <c r="E431" t="s">
        <v>94</v>
      </c>
      <c r="F431" t="s">
        <v>40</v>
      </c>
      <c r="G431">
        <v>4</v>
      </c>
      <c r="H431">
        <v>73971</v>
      </c>
      <c r="I431" t="s">
        <v>897</v>
      </c>
      <c r="J431">
        <v>91.3</v>
      </c>
      <c r="K431">
        <v>29.8</v>
      </c>
      <c r="L431">
        <v>79.3</v>
      </c>
      <c r="M431">
        <v>105</v>
      </c>
      <c r="N431">
        <v>73</v>
      </c>
      <c r="O431">
        <v>4</v>
      </c>
      <c r="P431">
        <v>16</v>
      </c>
      <c r="Q431" t="s">
        <v>37</v>
      </c>
      <c r="R431" t="s">
        <v>57</v>
      </c>
    </row>
    <row r="432" spans="1:18" x14ac:dyDescent="0.25">
      <c r="A432">
        <v>1431</v>
      </c>
      <c r="B432" t="s">
        <v>898</v>
      </c>
      <c r="C432" t="s">
        <v>89</v>
      </c>
      <c r="D432" t="s">
        <v>121</v>
      </c>
      <c r="E432" t="s">
        <v>152</v>
      </c>
      <c r="F432" t="s">
        <v>76</v>
      </c>
      <c r="G432">
        <v>11.3</v>
      </c>
      <c r="H432">
        <v>107967</v>
      </c>
      <c r="I432" t="s">
        <v>899</v>
      </c>
      <c r="J432">
        <v>94.4</v>
      </c>
      <c r="K432">
        <v>5.7</v>
      </c>
      <c r="L432">
        <v>92.1</v>
      </c>
      <c r="M432">
        <v>88</v>
      </c>
      <c r="N432">
        <v>73</v>
      </c>
      <c r="O432">
        <v>1</v>
      </c>
      <c r="P432">
        <v>29</v>
      </c>
      <c r="Q432" t="s">
        <v>42</v>
      </c>
      <c r="R432" t="s">
        <v>62</v>
      </c>
    </row>
    <row r="433" spans="1:18" x14ac:dyDescent="0.25">
      <c r="A433">
        <v>1432</v>
      </c>
      <c r="B433" t="s">
        <v>900</v>
      </c>
      <c r="C433" t="s">
        <v>44</v>
      </c>
      <c r="D433" t="s">
        <v>54</v>
      </c>
      <c r="E433" t="s">
        <v>55</v>
      </c>
      <c r="F433" t="s">
        <v>76</v>
      </c>
      <c r="G433">
        <v>6.6</v>
      </c>
      <c r="H433">
        <v>71543</v>
      </c>
      <c r="I433" t="s">
        <v>901</v>
      </c>
      <c r="J433">
        <v>88.8</v>
      </c>
      <c r="K433">
        <v>16.899999999999999</v>
      </c>
      <c r="L433">
        <v>74.900000000000006</v>
      </c>
      <c r="M433">
        <v>106</v>
      </c>
      <c r="N433">
        <v>83</v>
      </c>
      <c r="O433">
        <v>5</v>
      </c>
      <c r="P433">
        <v>22</v>
      </c>
      <c r="Q433" t="s">
        <v>37</v>
      </c>
      <c r="R433" t="s">
        <v>57</v>
      </c>
    </row>
    <row r="434" spans="1:18" x14ac:dyDescent="0.25">
      <c r="A434">
        <v>1433</v>
      </c>
      <c r="B434" t="s">
        <v>902</v>
      </c>
      <c r="C434" t="s">
        <v>49</v>
      </c>
      <c r="D434" t="s">
        <v>59</v>
      </c>
      <c r="E434" t="s">
        <v>163</v>
      </c>
      <c r="F434" t="s">
        <v>103</v>
      </c>
      <c r="G434">
        <v>2.5</v>
      </c>
      <c r="H434">
        <v>43269</v>
      </c>
      <c r="I434" t="s">
        <v>903</v>
      </c>
      <c r="J434">
        <v>90</v>
      </c>
      <c r="K434">
        <v>6.9</v>
      </c>
      <c r="L434">
        <v>81.599999999999994</v>
      </c>
      <c r="M434">
        <v>63</v>
      </c>
      <c r="N434">
        <v>46</v>
      </c>
      <c r="O434">
        <v>2</v>
      </c>
      <c r="P434">
        <v>14</v>
      </c>
      <c r="Q434" t="s">
        <v>24</v>
      </c>
      <c r="R434" t="s">
        <v>25</v>
      </c>
    </row>
    <row r="435" spans="1:18" x14ac:dyDescent="0.25">
      <c r="A435">
        <v>1434</v>
      </c>
      <c r="B435" t="s">
        <v>904</v>
      </c>
      <c r="C435" t="s">
        <v>44</v>
      </c>
      <c r="D435" t="s">
        <v>70</v>
      </c>
      <c r="E435" t="s">
        <v>97</v>
      </c>
      <c r="F435" t="s">
        <v>86</v>
      </c>
      <c r="G435">
        <v>0.9</v>
      </c>
      <c r="H435">
        <v>59019</v>
      </c>
      <c r="I435" t="s">
        <v>905</v>
      </c>
      <c r="J435">
        <v>95.1</v>
      </c>
      <c r="K435">
        <v>12.5</v>
      </c>
      <c r="L435">
        <v>73.5</v>
      </c>
      <c r="M435">
        <v>76</v>
      </c>
      <c r="N435">
        <v>57</v>
      </c>
      <c r="O435">
        <v>4</v>
      </c>
      <c r="P435">
        <v>20</v>
      </c>
      <c r="Q435" t="s">
        <v>37</v>
      </c>
      <c r="R435" t="s">
        <v>57</v>
      </c>
    </row>
    <row r="436" spans="1:18" x14ac:dyDescent="0.25">
      <c r="A436">
        <v>1435</v>
      </c>
      <c r="B436" t="s">
        <v>906</v>
      </c>
      <c r="C436" t="s">
        <v>49</v>
      </c>
      <c r="D436" t="s">
        <v>50</v>
      </c>
      <c r="E436" t="s">
        <v>163</v>
      </c>
      <c r="F436" t="s">
        <v>40</v>
      </c>
      <c r="G436">
        <v>2.8</v>
      </c>
      <c r="H436">
        <v>55459</v>
      </c>
      <c r="I436" t="s">
        <v>307</v>
      </c>
      <c r="J436">
        <v>91.5</v>
      </c>
      <c r="K436">
        <v>8.4</v>
      </c>
      <c r="L436">
        <v>79.599999999999994</v>
      </c>
      <c r="M436">
        <v>74</v>
      </c>
      <c r="N436">
        <v>55</v>
      </c>
      <c r="O436">
        <v>0</v>
      </c>
      <c r="P436">
        <v>12</v>
      </c>
      <c r="Q436" t="s">
        <v>42</v>
      </c>
      <c r="R436" t="s">
        <v>57</v>
      </c>
    </row>
    <row r="437" spans="1:18" x14ac:dyDescent="0.25">
      <c r="A437">
        <v>1436</v>
      </c>
      <c r="B437" t="s">
        <v>907</v>
      </c>
      <c r="C437" t="s">
        <v>44</v>
      </c>
      <c r="D437" t="s">
        <v>45</v>
      </c>
      <c r="E437" t="s">
        <v>55</v>
      </c>
      <c r="F437" t="s">
        <v>40</v>
      </c>
      <c r="G437">
        <v>4.7</v>
      </c>
      <c r="H437">
        <v>59487</v>
      </c>
      <c r="I437" t="s">
        <v>908</v>
      </c>
      <c r="J437">
        <v>94.9</v>
      </c>
      <c r="K437">
        <v>25.2</v>
      </c>
      <c r="L437">
        <v>78.400000000000006</v>
      </c>
      <c r="M437">
        <v>94</v>
      </c>
      <c r="N437">
        <v>80</v>
      </c>
      <c r="O437">
        <v>5</v>
      </c>
      <c r="P437">
        <v>25</v>
      </c>
      <c r="Q437" t="s">
        <v>37</v>
      </c>
      <c r="R437" t="s">
        <v>57</v>
      </c>
    </row>
    <row r="438" spans="1:18" x14ac:dyDescent="0.25">
      <c r="A438">
        <v>1437</v>
      </c>
      <c r="B438" t="s">
        <v>909</v>
      </c>
      <c r="C438" t="s">
        <v>32</v>
      </c>
      <c r="D438" t="s">
        <v>106</v>
      </c>
      <c r="E438" t="s">
        <v>94</v>
      </c>
      <c r="F438" t="s">
        <v>76</v>
      </c>
      <c r="G438">
        <v>1.7</v>
      </c>
      <c r="H438">
        <v>37784</v>
      </c>
      <c r="I438" t="s">
        <v>910</v>
      </c>
      <c r="J438">
        <v>88.8</v>
      </c>
      <c r="K438">
        <v>15.8</v>
      </c>
      <c r="L438">
        <v>90.7</v>
      </c>
      <c r="M438">
        <v>100</v>
      </c>
      <c r="N438">
        <v>85</v>
      </c>
      <c r="O438">
        <v>0</v>
      </c>
      <c r="P438">
        <v>20</v>
      </c>
      <c r="Q438" t="s">
        <v>42</v>
      </c>
      <c r="R438" t="s">
        <v>62</v>
      </c>
    </row>
    <row r="439" spans="1:18" x14ac:dyDescent="0.25">
      <c r="A439">
        <v>1438</v>
      </c>
      <c r="B439" t="s">
        <v>911</v>
      </c>
      <c r="C439" t="s">
        <v>89</v>
      </c>
      <c r="D439" t="s">
        <v>121</v>
      </c>
      <c r="E439" t="s">
        <v>152</v>
      </c>
      <c r="F439" t="s">
        <v>103</v>
      </c>
      <c r="G439">
        <v>7.1</v>
      </c>
      <c r="H439">
        <v>82339</v>
      </c>
      <c r="I439" t="s">
        <v>912</v>
      </c>
      <c r="J439">
        <v>100</v>
      </c>
      <c r="K439">
        <v>26.4</v>
      </c>
      <c r="L439">
        <v>96.9</v>
      </c>
      <c r="M439">
        <v>103</v>
      </c>
      <c r="N439">
        <v>103</v>
      </c>
      <c r="O439">
        <v>0</v>
      </c>
      <c r="P439">
        <v>23</v>
      </c>
      <c r="Q439" t="s">
        <v>42</v>
      </c>
      <c r="R439" t="s">
        <v>62</v>
      </c>
    </row>
    <row r="440" spans="1:18" x14ac:dyDescent="0.25">
      <c r="A440">
        <v>1439</v>
      </c>
      <c r="B440" t="s">
        <v>913</v>
      </c>
      <c r="C440" t="s">
        <v>44</v>
      </c>
      <c r="D440" t="s">
        <v>45</v>
      </c>
      <c r="E440" t="s">
        <v>97</v>
      </c>
      <c r="F440" t="s">
        <v>76</v>
      </c>
      <c r="G440">
        <v>6</v>
      </c>
      <c r="H440">
        <v>70704</v>
      </c>
      <c r="I440" t="s">
        <v>705</v>
      </c>
      <c r="J440">
        <v>91</v>
      </c>
      <c r="K440">
        <v>18.8</v>
      </c>
      <c r="L440">
        <v>67.3</v>
      </c>
      <c r="M440">
        <v>78</v>
      </c>
      <c r="N440">
        <v>49</v>
      </c>
      <c r="O440">
        <v>6</v>
      </c>
      <c r="P440">
        <v>9</v>
      </c>
      <c r="Q440" t="s">
        <v>37</v>
      </c>
      <c r="R440" t="s">
        <v>203</v>
      </c>
    </row>
    <row r="441" spans="1:18" x14ac:dyDescent="0.25">
      <c r="A441">
        <v>1440</v>
      </c>
      <c r="B441" t="s">
        <v>914</v>
      </c>
      <c r="C441" t="s">
        <v>32</v>
      </c>
      <c r="D441" t="s">
        <v>106</v>
      </c>
      <c r="E441" t="s">
        <v>128</v>
      </c>
      <c r="F441" t="s">
        <v>35</v>
      </c>
      <c r="G441">
        <v>3.3</v>
      </c>
      <c r="H441">
        <v>56566</v>
      </c>
      <c r="I441" t="s">
        <v>915</v>
      </c>
      <c r="J441">
        <v>98</v>
      </c>
      <c r="K441">
        <v>26.8</v>
      </c>
      <c r="L441">
        <v>90.7</v>
      </c>
      <c r="M441">
        <v>129</v>
      </c>
      <c r="N441">
        <v>124</v>
      </c>
      <c r="O441">
        <v>5</v>
      </c>
      <c r="P441">
        <v>15</v>
      </c>
      <c r="Q441" t="s">
        <v>24</v>
      </c>
      <c r="R441" t="s">
        <v>62</v>
      </c>
    </row>
    <row r="442" spans="1:18" x14ac:dyDescent="0.25">
      <c r="A442">
        <v>1441</v>
      </c>
      <c r="B442" t="s">
        <v>916</v>
      </c>
      <c r="C442" t="s">
        <v>27</v>
      </c>
      <c r="D442" t="s">
        <v>28</v>
      </c>
      <c r="E442" t="s">
        <v>118</v>
      </c>
      <c r="F442" t="s">
        <v>86</v>
      </c>
      <c r="G442">
        <v>4.7</v>
      </c>
      <c r="H442">
        <v>65084</v>
      </c>
      <c r="I442" t="s">
        <v>917</v>
      </c>
      <c r="J442">
        <v>84.5</v>
      </c>
      <c r="K442">
        <v>12.8</v>
      </c>
      <c r="L442">
        <v>87</v>
      </c>
      <c r="M442">
        <v>74</v>
      </c>
      <c r="N442">
        <v>70</v>
      </c>
      <c r="O442">
        <v>2</v>
      </c>
      <c r="P442">
        <v>2</v>
      </c>
      <c r="Q442" t="s">
        <v>42</v>
      </c>
      <c r="R442" t="s">
        <v>25</v>
      </c>
    </row>
    <row r="443" spans="1:18" x14ac:dyDescent="0.25">
      <c r="A443">
        <v>1442</v>
      </c>
      <c r="B443" t="s">
        <v>918</v>
      </c>
      <c r="C443" t="s">
        <v>19</v>
      </c>
      <c r="D443" t="s">
        <v>137</v>
      </c>
      <c r="E443" t="s">
        <v>21</v>
      </c>
      <c r="F443" t="s">
        <v>86</v>
      </c>
      <c r="G443">
        <v>5.6</v>
      </c>
      <c r="H443">
        <v>77305</v>
      </c>
      <c r="I443" t="s">
        <v>919</v>
      </c>
      <c r="J443">
        <v>90.3</v>
      </c>
      <c r="K443">
        <v>8.4</v>
      </c>
      <c r="L443">
        <v>81.7</v>
      </c>
      <c r="M443">
        <v>81</v>
      </c>
      <c r="N443">
        <v>67</v>
      </c>
      <c r="O443">
        <v>0</v>
      </c>
      <c r="P443">
        <v>9</v>
      </c>
      <c r="Q443" t="s">
        <v>24</v>
      </c>
      <c r="R443" t="s">
        <v>25</v>
      </c>
    </row>
    <row r="444" spans="1:18" x14ac:dyDescent="0.25">
      <c r="A444">
        <v>1443</v>
      </c>
      <c r="B444" t="s">
        <v>920</v>
      </c>
      <c r="C444" t="s">
        <v>44</v>
      </c>
      <c r="D444" t="s">
        <v>45</v>
      </c>
      <c r="E444" t="s">
        <v>97</v>
      </c>
      <c r="F444" t="s">
        <v>76</v>
      </c>
      <c r="G444">
        <v>8.8000000000000007</v>
      </c>
      <c r="H444">
        <v>99502</v>
      </c>
      <c r="I444" t="s">
        <v>915</v>
      </c>
      <c r="J444">
        <v>95.5</v>
      </c>
      <c r="K444">
        <v>25.8</v>
      </c>
      <c r="L444">
        <v>71.900000000000006</v>
      </c>
      <c r="M444">
        <v>96</v>
      </c>
      <c r="N444">
        <v>59</v>
      </c>
      <c r="O444">
        <v>1</v>
      </c>
      <c r="P444">
        <v>11</v>
      </c>
      <c r="Q444" t="s">
        <v>37</v>
      </c>
      <c r="R444" t="s">
        <v>57</v>
      </c>
    </row>
    <row r="445" spans="1:18" x14ac:dyDescent="0.25">
      <c r="A445">
        <v>1444</v>
      </c>
      <c r="B445" t="s">
        <v>921</v>
      </c>
      <c r="C445" t="s">
        <v>44</v>
      </c>
      <c r="D445" t="s">
        <v>70</v>
      </c>
      <c r="E445" t="s">
        <v>97</v>
      </c>
      <c r="F445" t="s">
        <v>86</v>
      </c>
      <c r="G445">
        <v>7.6</v>
      </c>
      <c r="H445">
        <v>85843</v>
      </c>
      <c r="I445" t="s">
        <v>922</v>
      </c>
      <c r="J445">
        <v>91.2</v>
      </c>
      <c r="K445">
        <v>32.200000000000003</v>
      </c>
      <c r="L445">
        <v>82</v>
      </c>
      <c r="M445">
        <v>96</v>
      </c>
      <c r="N445">
        <v>77</v>
      </c>
      <c r="O445">
        <v>4</v>
      </c>
      <c r="P445">
        <v>19</v>
      </c>
      <c r="Q445" t="s">
        <v>37</v>
      </c>
      <c r="R445" t="s">
        <v>25</v>
      </c>
    </row>
    <row r="446" spans="1:18" x14ac:dyDescent="0.25">
      <c r="A446">
        <v>1445</v>
      </c>
      <c r="B446" t="s">
        <v>923</v>
      </c>
      <c r="C446" t="s">
        <v>27</v>
      </c>
      <c r="D446" t="s">
        <v>28</v>
      </c>
      <c r="E446" t="s">
        <v>85</v>
      </c>
      <c r="F446" t="s">
        <v>103</v>
      </c>
      <c r="G446">
        <v>8.6999999999999993</v>
      </c>
      <c r="H446">
        <v>87743</v>
      </c>
      <c r="I446" t="s">
        <v>531</v>
      </c>
      <c r="J446">
        <v>98.5</v>
      </c>
      <c r="K446">
        <v>25</v>
      </c>
      <c r="L446">
        <v>84.3</v>
      </c>
      <c r="M446">
        <v>77</v>
      </c>
      <c r="N446">
        <v>67</v>
      </c>
      <c r="O446">
        <v>1</v>
      </c>
      <c r="P446">
        <v>12</v>
      </c>
      <c r="Q446" t="s">
        <v>42</v>
      </c>
      <c r="R446" t="s">
        <v>25</v>
      </c>
    </row>
    <row r="447" spans="1:18" x14ac:dyDescent="0.25">
      <c r="A447">
        <v>1446</v>
      </c>
      <c r="B447" t="s">
        <v>924</v>
      </c>
      <c r="C447" t="s">
        <v>49</v>
      </c>
      <c r="D447" t="s">
        <v>178</v>
      </c>
      <c r="E447" t="s">
        <v>51</v>
      </c>
      <c r="F447" t="s">
        <v>103</v>
      </c>
      <c r="G447">
        <v>4.5999999999999996</v>
      </c>
      <c r="H447">
        <v>56827</v>
      </c>
      <c r="I447" t="s">
        <v>925</v>
      </c>
      <c r="J447">
        <v>92</v>
      </c>
      <c r="K447">
        <v>3</v>
      </c>
      <c r="L447">
        <v>74.7</v>
      </c>
      <c r="M447">
        <v>57</v>
      </c>
      <c r="N447">
        <v>49</v>
      </c>
      <c r="O447">
        <v>5</v>
      </c>
      <c r="P447">
        <v>9</v>
      </c>
      <c r="Q447" t="s">
        <v>24</v>
      </c>
      <c r="R447" t="s">
        <v>57</v>
      </c>
    </row>
    <row r="448" spans="1:18" x14ac:dyDescent="0.25">
      <c r="A448">
        <v>1447</v>
      </c>
      <c r="B448" t="s">
        <v>926</v>
      </c>
      <c r="C448" t="s">
        <v>32</v>
      </c>
      <c r="D448" t="s">
        <v>33</v>
      </c>
      <c r="E448" t="s">
        <v>94</v>
      </c>
      <c r="F448" t="s">
        <v>76</v>
      </c>
      <c r="G448">
        <v>8.3000000000000007</v>
      </c>
      <c r="H448">
        <v>81794</v>
      </c>
      <c r="I448" t="s">
        <v>199</v>
      </c>
      <c r="J448">
        <v>90.8</v>
      </c>
      <c r="K448">
        <v>11.3</v>
      </c>
      <c r="L448">
        <v>84.8</v>
      </c>
      <c r="M448">
        <v>84</v>
      </c>
      <c r="N448">
        <v>71</v>
      </c>
      <c r="O448">
        <v>3</v>
      </c>
      <c r="P448">
        <v>18</v>
      </c>
      <c r="Q448" t="s">
        <v>42</v>
      </c>
      <c r="R448" t="s">
        <v>25</v>
      </c>
    </row>
    <row r="449" spans="1:18" x14ac:dyDescent="0.25">
      <c r="A449">
        <v>1448</v>
      </c>
      <c r="B449" t="s">
        <v>927</v>
      </c>
      <c r="C449" t="s">
        <v>32</v>
      </c>
      <c r="D449" t="s">
        <v>106</v>
      </c>
      <c r="E449" t="s">
        <v>34</v>
      </c>
      <c r="F449" t="s">
        <v>76</v>
      </c>
      <c r="G449">
        <v>2.4</v>
      </c>
      <c r="H449">
        <v>45357</v>
      </c>
      <c r="I449" t="s">
        <v>928</v>
      </c>
      <c r="J449">
        <v>90.2</v>
      </c>
      <c r="K449">
        <v>17.600000000000001</v>
      </c>
      <c r="L449">
        <v>84.9</v>
      </c>
      <c r="M449">
        <v>100</v>
      </c>
      <c r="N449">
        <v>83</v>
      </c>
      <c r="O449">
        <v>4</v>
      </c>
      <c r="P449">
        <v>12</v>
      </c>
      <c r="Q449" t="s">
        <v>24</v>
      </c>
      <c r="R449" t="s">
        <v>25</v>
      </c>
    </row>
    <row r="450" spans="1:18" x14ac:dyDescent="0.25">
      <c r="A450">
        <v>1449</v>
      </c>
      <c r="B450" t="s">
        <v>929</v>
      </c>
      <c r="C450" t="s">
        <v>27</v>
      </c>
      <c r="D450" t="s">
        <v>64</v>
      </c>
      <c r="E450" t="s">
        <v>118</v>
      </c>
      <c r="F450" t="s">
        <v>22</v>
      </c>
      <c r="G450">
        <v>1.5</v>
      </c>
      <c r="H450">
        <v>55120</v>
      </c>
      <c r="I450" t="s">
        <v>930</v>
      </c>
      <c r="J450">
        <v>99</v>
      </c>
      <c r="K450">
        <v>4.9000000000000004</v>
      </c>
      <c r="L450">
        <v>91.1</v>
      </c>
      <c r="M450">
        <v>77</v>
      </c>
      <c r="N450">
        <v>63</v>
      </c>
      <c r="O450">
        <v>0</v>
      </c>
      <c r="P450">
        <v>20</v>
      </c>
      <c r="Q450" t="s">
        <v>42</v>
      </c>
      <c r="R450" t="s">
        <v>62</v>
      </c>
    </row>
    <row r="451" spans="1:18" x14ac:dyDescent="0.25">
      <c r="A451">
        <v>1450</v>
      </c>
      <c r="B451" t="s">
        <v>931</v>
      </c>
      <c r="C451" t="s">
        <v>89</v>
      </c>
      <c r="D451" t="s">
        <v>102</v>
      </c>
      <c r="E451" t="s">
        <v>152</v>
      </c>
      <c r="F451" t="s">
        <v>76</v>
      </c>
      <c r="G451">
        <v>4.0999999999999996</v>
      </c>
      <c r="H451">
        <v>53969</v>
      </c>
      <c r="I451" t="s">
        <v>932</v>
      </c>
      <c r="J451">
        <v>87.5</v>
      </c>
      <c r="K451">
        <v>9.6999999999999993</v>
      </c>
      <c r="L451">
        <v>86.3</v>
      </c>
      <c r="M451">
        <v>59</v>
      </c>
      <c r="N451">
        <v>53</v>
      </c>
      <c r="O451">
        <v>0</v>
      </c>
      <c r="P451">
        <v>14</v>
      </c>
      <c r="Q451" t="s">
        <v>42</v>
      </c>
      <c r="R451" t="s">
        <v>25</v>
      </c>
    </row>
    <row r="452" spans="1:18" x14ac:dyDescent="0.25">
      <c r="A452">
        <v>1451</v>
      </c>
      <c r="B452" t="s">
        <v>933</v>
      </c>
      <c r="C452" t="s">
        <v>32</v>
      </c>
      <c r="D452" t="s">
        <v>33</v>
      </c>
      <c r="E452" t="s">
        <v>94</v>
      </c>
      <c r="F452" t="s">
        <v>40</v>
      </c>
      <c r="G452">
        <v>6.3</v>
      </c>
      <c r="H452">
        <v>79634</v>
      </c>
      <c r="I452" t="s">
        <v>934</v>
      </c>
      <c r="J452">
        <v>96.3</v>
      </c>
      <c r="K452">
        <v>31.7</v>
      </c>
      <c r="L452">
        <v>81.7</v>
      </c>
      <c r="M452">
        <v>85</v>
      </c>
      <c r="N452">
        <v>73</v>
      </c>
      <c r="O452">
        <v>0</v>
      </c>
      <c r="P452">
        <v>14</v>
      </c>
      <c r="Q452" t="s">
        <v>37</v>
      </c>
      <c r="R452" t="s">
        <v>25</v>
      </c>
    </row>
    <row r="453" spans="1:18" x14ac:dyDescent="0.25">
      <c r="A453">
        <v>1452</v>
      </c>
      <c r="B453" t="s">
        <v>935</v>
      </c>
      <c r="C453" t="s">
        <v>49</v>
      </c>
      <c r="D453" t="s">
        <v>178</v>
      </c>
      <c r="E453" t="s">
        <v>163</v>
      </c>
      <c r="F453" t="s">
        <v>103</v>
      </c>
      <c r="G453">
        <v>7.3</v>
      </c>
      <c r="H453">
        <v>74684</v>
      </c>
      <c r="I453" t="s">
        <v>936</v>
      </c>
      <c r="J453">
        <v>88.9</v>
      </c>
      <c r="K453">
        <v>1.9</v>
      </c>
      <c r="L453">
        <v>84.7</v>
      </c>
      <c r="M453">
        <v>69</v>
      </c>
      <c r="N453">
        <v>56</v>
      </c>
      <c r="O453">
        <v>0</v>
      </c>
      <c r="P453">
        <v>14</v>
      </c>
      <c r="Q453" t="s">
        <v>24</v>
      </c>
      <c r="R453" t="s">
        <v>25</v>
      </c>
    </row>
    <row r="454" spans="1:18" x14ac:dyDescent="0.25">
      <c r="A454">
        <v>1453</v>
      </c>
      <c r="B454" t="s">
        <v>937</v>
      </c>
      <c r="C454" t="s">
        <v>49</v>
      </c>
      <c r="D454" t="s">
        <v>59</v>
      </c>
      <c r="E454" t="s">
        <v>51</v>
      </c>
      <c r="F454" t="s">
        <v>35</v>
      </c>
      <c r="G454">
        <v>6.5</v>
      </c>
      <c r="H454">
        <v>69024</v>
      </c>
      <c r="I454" t="s">
        <v>938</v>
      </c>
      <c r="J454">
        <v>88.4</v>
      </c>
      <c r="K454">
        <v>17.7</v>
      </c>
      <c r="L454">
        <v>88.8</v>
      </c>
      <c r="M454">
        <v>75</v>
      </c>
      <c r="N454">
        <v>67</v>
      </c>
      <c r="O454">
        <v>1</v>
      </c>
      <c r="P454">
        <v>20</v>
      </c>
      <c r="Q454" t="s">
        <v>42</v>
      </c>
      <c r="R454" t="s">
        <v>25</v>
      </c>
    </row>
    <row r="455" spans="1:18" x14ac:dyDescent="0.25">
      <c r="A455">
        <v>1454</v>
      </c>
      <c r="B455" t="s">
        <v>939</v>
      </c>
      <c r="C455" t="s">
        <v>32</v>
      </c>
      <c r="D455" t="s">
        <v>106</v>
      </c>
      <c r="E455" t="s">
        <v>128</v>
      </c>
      <c r="F455" t="s">
        <v>86</v>
      </c>
      <c r="G455">
        <v>4.3</v>
      </c>
      <c r="H455">
        <v>65003</v>
      </c>
      <c r="I455" t="s">
        <v>940</v>
      </c>
      <c r="J455">
        <v>89.4</v>
      </c>
      <c r="K455">
        <v>33.4</v>
      </c>
      <c r="L455">
        <v>88.5</v>
      </c>
      <c r="M455">
        <v>143</v>
      </c>
      <c r="N455">
        <v>126</v>
      </c>
      <c r="O455">
        <v>1</v>
      </c>
      <c r="P455">
        <v>14</v>
      </c>
      <c r="Q455" t="s">
        <v>24</v>
      </c>
      <c r="R455" t="s">
        <v>25</v>
      </c>
    </row>
    <row r="456" spans="1:18" x14ac:dyDescent="0.25">
      <c r="A456">
        <v>1455</v>
      </c>
      <c r="B456" t="s">
        <v>941</v>
      </c>
      <c r="C456" t="s">
        <v>27</v>
      </c>
      <c r="D456" t="s">
        <v>28</v>
      </c>
      <c r="E456" t="s">
        <v>118</v>
      </c>
      <c r="F456" t="s">
        <v>76</v>
      </c>
      <c r="G456">
        <v>5.9</v>
      </c>
      <c r="H456">
        <v>76784</v>
      </c>
      <c r="I456" t="s">
        <v>942</v>
      </c>
      <c r="J456">
        <v>99.8</v>
      </c>
      <c r="K456">
        <v>15.7</v>
      </c>
      <c r="L456">
        <v>79</v>
      </c>
      <c r="M456">
        <v>95</v>
      </c>
      <c r="N456">
        <v>78</v>
      </c>
      <c r="O456">
        <v>1</v>
      </c>
      <c r="P456">
        <v>13</v>
      </c>
      <c r="Q456" t="s">
        <v>24</v>
      </c>
      <c r="R456" t="s">
        <v>57</v>
      </c>
    </row>
    <row r="457" spans="1:18" x14ac:dyDescent="0.25">
      <c r="A457">
        <v>1456</v>
      </c>
      <c r="B457" t="s">
        <v>943</v>
      </c>
      <c r="C457" t="s">
        <v>32</v>
      </c>
      <c r="D457" t="s">
        <v>106</v>
      </c>
      <c r="E457" t="s">
        <v>94</v>
      </c>
      <c r="F457" t="s">
        <v>76</v>
      </c>
      <c r="G457">
        <v>3.7</v>
      </c>
      <c r="H457">
        <v>64506</v>
      </c>
      <c r="I457" t="s">
        <v>944</v>
      </c>
      <c r="J457">
        <v>100</v>
      </c>
      <c r="K457">
        <v>28.3</v>
      </c>
      <c r="L457">
        <v>79.900000000000006</v>
      </c>
      <c r="M457">
        <v>103</v>
      </c>
      <c r="N457">
        <v>72</v>
      </c>
      <c r="O457">
        <v>2</v>
      </c>
      <c r="P457">
        <v>13</v>
      </c>
      <c r="Q457" t="s">
        <v>24</v>
      </c>
      <c r="R457" t="s">
        <v>57</v>
      </c>
    </row>
    <row r="458" spans="1:18" x14ac:dyDescent="0.25">
      <c r="A458">
        <v>1457</v>
      </c>
      <c r="B458" t="s">
        <v>945</v>
      </c>
      <c r="C458" t="s">
        <v>49</v>
      </c>
      <c r="D458" t="s">
        <v>50</v>
      </c>
      <c r="E458" t="s">
        <v>51</v>
      </c>
      <c r="F458" t="s">
        <v>103</v>
      </c>
      <c r="G458">
        <v>6.2</v>
      </c>
      <c r="H458">
        <v>70073</v>
      </c>
      <c r="I458" t="s">
        <v>946</v>
      </c>
      <c r="J458">
        <v>89.6</v>
      </c>
      <c r="K458">
        <v>3</v>
      </c>
      <c r="L458">
        <v>80.3</v>
      </c>
      <c r="M458">
        <v>43</v>
      </c>
      <c r="N458">
        <v>38</v>
      </c>
      <c r="O458">
        <v>3</v>
      </c>
      <c r="P458">
        <v>17</v>
      </c>
      <c r="Q458" t="s">
        <v>24</v>
      </c>
      <c r="R458" t="s">
        <v>25</v>
      </c>
    </row>
    <row r="459" spans="1:18" x14ac:dyDescent="0.25">
      <c r="A459">
        <v>1458</v>
      </c>
      <c r="B459" t="s">
        <v>947</v>
      </c>
      <c r="C459" t="s">
        <v>44</v>
      </c>
      <c r="D459" t="s">
        <v>70</v>
      </c>
      <c r="E459" t="s">
        <v>97</v>
      </c>
      <c r="F459" t="s">
        <v>103</v>
      </c>
      <c r="G459">
        <v>6.9</v>
      </c>
      <c r="H459">
        <v>86426</v>
      </c>
      <c r="I459" t="s">
        <v>948</v>
      </c>
      <c r="J459">
        <v>90.8</v>
      </c>
      <c r="K459">
        <v>13</v>
      </c>
      <c r="L459">
        <v>80.3</v>
      </c>
      <c r="M459">
        <v>78</v>
      </c>
      <c r="N459">
        <v>68</v>
      </c>
      <c r="O459">
        <v>2</v>
      </c>
      <c r="P459">
        <v>22</v>
      </c>
      <c r="Q459" t="s">
        <v>24</v>
      </c>
      <c r="R459" t="s">
        <v>25</v>
      </c>
    </row>
    <row r="460" spans="1:18" x14ac:dyDescent="0.25">
      <c r="A460">
        <v>1459</v>
      </c>
      <c r="B460" t="s">
        <v>949</v>
      </c>
      <c r="C460" t="s">
        <v>89</v>
      </c>
      <c r="D460" t="s">
        <v>90</v>
      </c>
      <c r="E460" t="s">
        <v>91</v>
      </c>
      <c r="F460" t="s">
        <v>40</v>
      </c>
      <c r="G460">
        <v>3.8</v>
      </c>
      <c r="H460">
        <v>66879</v>
      </c>
      <c r="I460" t="s">
        <v>950</v>
      </c>
      <c r="J460">
        <v>93.7</v>
      </c>
      <c r="K460">
        <v>18.899999999999999</v>
      </c>
      <c r="L460">
        <v>98.4</v>
      </c>
      <c r="M460">
        <v>119</v>
      </c>
      <c r="N460">
        <v>119</v>
      </c>
      <c r="O460">
        <v>3</v>
      </c>
      <c r="P460">
        <v>21</v>
      </c>
      <c r="Q460" t="s">
        <v>42</v>
      </c>
      <c r="R460" t="s">
        <v>62</v>
      </c>
    </row>
    <row r="461" spans="1:18" x14ac:dyDescent="0.25">
      <c r="A461">
        <v>1460</v>
      </c>
      <c r="B461" t="s">
        <v>951</v>
      </c>
      <c r="C461" t="s">
        <v>19</v>
      </c>
      <c r="D461" t="s">
        <v>137</v>
      </c>
      <c r="E461" t="s">
        <v>39</v>
      </c>
      <c r="F461" t="s">
        <v>86</v>
      </c>
      <c r="G461">
        <v>3.5</v>
      </c>
      <c r="H461">
        <v>45964</v>
      </c>
      <c r="I461" t="s">
        <v>952</v>
      </c>
      <c r="J461">
        <v>97.3</v>
      </c>
      <c r="K461">
        <v>21.6</v>
      </c>
      <c r="L461">
        <v>91.5</v>
      </c>
      <c r="M461">
        <v>128</v>
      </c>
      <c r="N461">
        <v>106</v>
      </c>
      <c r="O461">
        <v>0</v>
      </c>
      <c r="P461">
        <v>12</v>
      </c>
      <c r="Q461" t="s">
        <v>24</v>
      </c>
      <c r="R461" t="s">
        <v>62</v>
      </c>
    </row>
    <row r="462" spans="1:18" x14ac:dyDescent="0.25">
      <c r="A462">
        <v>1461</v>
      </c>
      <c r="B462" t="s">
        <v>953</v>
      </c>
      <c r="C462" t="s">
        <v>89</v>
      </c>
      <c r="D462" t="s">
        <v>121</v>
      </c>
      <c r="E462" t="s">
        <v>91</v>
      </c>
      <c r="F462" t="s">
        <v>22</v>
      </c>
      <c r="G462">
        <v>8.1</v>
      </c>
      <c r="H462">
        <v>91016</v>
      </c>
      <c r="I462" t="s">
        <v>954</v>
      </c>
      <c r="J462">
        <v>94</v>
      </c>
      <c r="K462">
        <v>22.6</v>
      </c>
      <c r="L462">
        <v>95.3</v>
      </c>
      <c r="M462">
        <v>80</v>
      </c>
      <c r="N462">
        <v>78</v>
      </c>
      <c r="O462">
        <v>0</v>
      </c>
      <c r="P462">
        <v>20</v>
      </c>
      <c r="Q462" t="s">
        <v>42</v>
      </c>
      <c r="R462" t="s">
        <v>62</v>
      </c>
    </row>
    <row r="463" spans="1:18" x14ac:dyDescent="0.25">
      <c r="A463">
        <v>1462</v>
      </c>
      <c r="B463" t="s">
        <v>955</v>
      </c>
      <c r="C463" t="s">
        <v>32</v>
      </c>
      <c r="D463" t="s">
        <v>33</v>
      </c>
      <c r="E463" t="s">
        <v>128</v>
      </c>
      <c r="F463" t="s">
        <v>103</v>
      </c>
      <c r="G463">
        <v>3.7</v>
      </c>
      <c r="H463">
        <v>67339</v>
      </c>
      <c r="I463" t="s">
        <v>956</v>
      </c>
      <c r="J463">
        <v>98.8</v>
      </c>
      <c r="K463">
        <v>11.5</v>
      </c>
      <c r="L463">
        <v>100</v>
      </c>
      <c r="M463">
        <v>104</v>
      </c>
      <c r="N463">
        <v>104</v>
      </c>
      <c r="O463">
        <v>4</v>
      </c>
      <c r="P463">
        <v>17</v>
      </c>
      <c r="Q463" t="s">
        <v>24</v>
      </c>
      <c r="R463" t="s">
        <v>62</v>
      </c>
    </row>
    <row r="464" spans="1:18" x14ac:dyDescent="0.25">
      <c r="A464">
        <v>1463</v>
      </c>
      <c r="B464" t="s">
        <v>957</v>
      </c>
      <c r="C464" t="s">
        <v>89</v>
      </c>
      <c r="D464" t="s">
        <v>121</v>
      </c>
      <c r="E464" t="s">
        <v>152</v>
      </c>
      <c r="F464" t="s">
        <v>40</v>
      </c>
      <c r="G464">
        <v>2.4</v>
      </c>
      <c r="H464">
        <v>46610</v>
      </c>
      <c r="I464" t="s">
        <v>958</v>
      </c>
      <c r="J464">
        <v>92</v>
      </c>
      <c r="K464">
        <v>14.4</v>
      </c>
      <c r="L464">
        <v>96.3</v>
      </c>
      <c r="M464">
        <v>71</v>
      </c>
      <c r="N464">
        <v>68</v>
      </c>
      <c r="O464">
        <v>1</v>
      </c>
      <c r="P464">
        <v>15</v>
      </c>
      <c r="Q464" t="s">
        <v>42</v>
      </c>
      <c r="R464" t="s">
        <v>62</v>
      </c>
    </row>
    <row r="465" spans="1:18" x14ac:dyDescent="0.25">
      <c r="A465">
        <v>1464</v>
      </c>
      <c r="B465" t="s">
        <v>959</v>
      </c>
      <c r="C465" t="s">
        <v>89</v>
      </c>
      <c r="D465" t="s">
        <v>90</v>
      </c>
      <c r="E465" t="s">
        <v>111</v>
      </c>
      <c r="F465" t="s">
        <v>40</v>
      </c>
      <c r="G465">
        <v>5.7</v>
      </c>
      <c r="H465">
        <v>87408</v>
      </c>
      <c r="I465" t="s">
        <v>960</v>
      </c>
      <c r="J465">
        <v>94.7</v>
      </c>
      <c r="K465">
        <v>20</v>
      </c>
      <c r="L465">
        <v>84.2</v>
      </c>
      <c r="M465">
        <v>78</v>
      </c>
      <c r="N465">
        <v>63</v>
      </c>
      <c r="O465">
        <v>0</v>
      </c>
      <c r="P465">
        <v>23</v>
      </c>
      <c r="Q465" t="s">
        <v>42</v>
      </c>
      <c r="R465" t="s">
        <v>25</v>
      </c>
    </row>
    <row r="466" spans="1:18" x14ac:dyDescent="0.25">
      <c r="A466">
        <v>1465</v>
      </c>
      <c r="B466" t="s">
        <v>961</v>
      </c>
      <c r="C466" t="s">
        <v>49</v>
      </c>
      <c r="D466" t="s">
        <v>178</v>
      </c>
      <c r="E466" t="s">
        <v>51</v>
      </c>
      <c r="F466" t="s">
        <v>35</v>
      </c>
      <c r="G466">
        <v>1.5</v>
      </c>
      <c r="H466">
        <v>45798</v>
      </c>
      <c r="I466" t="s">
        <v>962</v>
      </c>
      <c r="J466">
        <v>86.8</v>
      </c>
      <c r="K466">
        <v>0</v>
      </c>
      <c r="L466">
        <v>78.099999999999994</v>
      </c>
      <c r="M466">
        <v>43</v>
      </c>
      <c r="N466">
        <v>33</v>
      </c>
      <c r="O466">
        <v>8</v>
      </c>
      <c r="P466">
        <v>11</v>
      </c>
      <c r="Q466" t="s">
        <v>24</v>
      </c>
      <c r="R466" t="s">
        <v>57</v>
      </c>
    </row>
    <row r="467" spans="1:18" x14ac:dyDescent="0.25">
      <c r="A467">
        <v>1466</v>
      </c>
      <c r="B467" t="s">
        <v>963</v>
      </c>
      <c r="C467" t="s">
        <v>19</v>
      </c>
      <c r="D467" t="s">
        <v>137</v>
      </c>
      <c r="E467" t="s">
        <v>21</v>
      </c>
      <c r="F467" t="s">
        <v>76</v>
      </c>
      <c r="G467">
        <v>3.9</v>
      </c>
      <c r="H467">
        <v>51982</v>
      </c>
      <c r="I467" t="s">
        <v>964</v>
      </c>
      <c r="J467">
        <v>85.7</v>
      </c>
      <c r="K467">
        <v>7.6</v>
      </c>
      <c r="L467">
        <v>84.9</v>
      </c>
      <c r="M467">
        <v>61</v>
      </c>
      <c r="N467">
        <v>47</v>
      </c>
      <c r="O467">
        <v>1</v>
      </c>
      <c r="P467">
        <v>16</v>
      </c>
      <c r="Q467" t="s">
        <v>37</v>
      </c>
      <c r="R467" t="s">
        <v>25</v>
      </c>
    </row>
    <row r="468" spans="1:18" x14ac:dyDescent="0.25">
      <c r="A468">
        <v>1467</v>
      </c>
      <c r="B468" t="s">
        <v>965</v>
      </c>
      <c r="C468" t="s">
        <v>32</v>
      </c>
      <c r="D468" t="s">
        <v>33</v>
      </c>
      <c r="E468" t="s">
        <v>128</v>
      </c>
      <c r="F468" t="s">
        <v>86</v>
      </c>
      <c r="G468">
        <v>6</v>
      </c>
      <c r="H468">
        <v>87228</v>
      </c>
      <c r="I468" t="s">
        <v>966</v>
      </c>
      <c r="J468">
        <v>94.1</v>
      </c>
      <c r="K468">
        <v>31.9</v>
      </c>
      <c r="L468">
        <v>83.4</v>
      </c>
      <c r="M468">
        <v>127</v>
      </c>
      <c r="N468">
        <v>103</v>
      </c>
      <c r="O468">
        <v>6</v>
      </c>
      <c r="P468">
        <v>19</v>
      </c>
      <c r="Q468" t="s">
        <v>37</v>
      </c>
      <c r="R468" t="s">
        <v>25</v>
      </c>
    </row>
    <row r="469" spans="1:18" x14ac:dyDescent="0.25">
      <c r="A469">
        <v>1468</v>
      </c>
      <c r="B469" t="s">
        <v>967</v>
      </c>
      <c r="C469" t="s">
        <v>19</v>
      </c>
      <c r="D469" t="s">
        <v>20</v>
      </c>
      <c r="E469" t="s">
        <v>21</v>
      </c>
      <c r="F469" t="s">
        <v>40</v>
      </c>
      <c r="G469">
        <v>4</v>
      </c>
      <c r="H469">
        <v>68768</v>
      </c>
      <c r="I469" t="s">
        <v>968</v>
      </c>
      <c r="J469">
        <v>92.1</v>
      </c>
      <c r="K469">
        <v>22.6</v>
      </c>
      <c r="L469">
        <v>83.3</v>
      </c>
      <c r="M469">
        <v>83</v>
      </c>
      <c r="N469">
        <v>74</v>
      </c>
      <c r="O469">
        <v>3</v>
      </c>
      <c r="P469">
        <v>15</v>
      </c>
      <c r="Q469" t="s">
        <v>24</v>
      </c>
      <c r="R469" t="s">
        <v>25</v>
      </c>
    </row>
    <row r="470" spans="1:18" x14ac:dyDescent="0.25">
      <c r="A470">
        <v>1469</v>
      </c>
      <c r="B470" t="s">
        <v>969</v>
      </c>
      <c r="C470" t="s">
        <v>32</v>
      </c>
      <c r="D470" t="s">
        <v>67</v>
      </c>
      <c r="E470" t="s">
        <v>128</v>
      </c>
      <c r="F470" t="s">
        <v>35</v>
      </c>
      <c r="G470">
        <v>0.2</v>
      </c>
      <c r="H470">
        <v>35942</v>
      </c>
      <c r="I470" t="s">
        <v>970</v>
      </c>
      <c r="J470">
        <v>88.3</v>
      </c>
      <c r="K470">
        <v>30.3</v>
      </c>
      <c r="L470">
        <v>75.900000000000006</v>
      </c>
      <c r="M470">
        <v>118</v>
      </c>
      <c r="N470">
        <v>84</v>
      </c>
      <c r="O470">
        <v>1</v>
      </c>
      <c r="P470">
        <v>12</v>
      </c>
      <c r="Q470" t="s">
        <v>37</v>
      </c>
      <c r="R470" t="s">
        <v>57</v>
      </c>
    </row>
    <row r="471" spans="1:18" x14ac:dyDescent="0.25">
      <c r="A471">
        <v>1470</v>
      </c>
      <c r="B471" t="s">
        <v>971</v>
      </c>
      <c r="C471" t="s">
        <v>19</v>
      </c>
      <c r="D471" t="s">
        <v>20</v>
      </c>
      <c r="E471" t="s">
        <v>82</v>
      </c>
      <c r="F471" t="s">
        <v>35</v>
      </c>
      <c r="G471">
        <v>4.3</v>
      </c>
      <c r="H471">
        <v>64100</v>
      </c>
      <c r="I471" t="s">
        <v>972</v>
      </c>
      <c r="J471">
        <v>90.9</v>
      </c>
      <c r="K471">
        <v>12.5</v>
      </c>
      <c r="L471">
        <v>89.6</v>
      </c>
      <c r="M471">
        <v>67</v>
      </c>
      <c r="N471">
        <v>57</v>
      </c>
      <c r="O471">
        <v>4</v>
      </c>
      <c r="P471">
        <v>15</v>
      </c>
      <c r="Q471" t="s">
        <v>24</v>
      </c>
      <c r="R471" t="s">
        <v>25</v>
      </c>
    </row>
    <row r="472" spans="1:18" x14ac:dyDescent="0.25">
      <c r="A472">
        <v>1471</v>
      </c>
      <c r="B472" t="s">
        <v>973</v>
      </c>
      <c r="C472" t="s">
        <v>19</v>
      </c>
      <c r="D472" t="s">
        <v>20</v>
      </c>
      <c r="E472" t="s">
        <v>39</v>
      </c>
      <c r="F472" t="s">
        <v>86</v>
      </c>
      <c r="G472">
        <v>3.9</v>
      </c>
      <c r="H472">
        <v>58310</v>
      </c>
      <c r="I472" t="s">
        <v>974</v>
      </c>
      <c r="J472">
        <v>86.8</v>
      </c>
      <c r="K472">
        <v>6.2</v>
      </c>
      <c r="L472">
        <v>81.2</v>
      </c>
      <c r="M472">
        <v>96</v>
      </c>
      <c r="N472">
        <v>78</v>
      </c>
      <c r="O472">
        <v>3</v>
      </c>
      <c r="P472">
        <v>16</v>
      </c>
      <c r="Q472" t="s">
        <v>37</v>
      </c>
      <c r="R472" t="s">
        <v>25</v>
      </c>
    </row>
    <row r="473" spans="1:18" x14ac:dyDescent="0.25">
      <c r="A473">
        <v>1472</v>
      </c>
      <c r="B473" t="s">
        <v>975</v>
      </c>
      <c r="C473" t="s">
        <v>32</v>
      </c>
      <c r="D473" t="s">
        <v>106</v>
      </c>
      <c r="E473" t="s">
        <v>34</v>
      </c>
      <c r="F473" t="s">
        <v>86</v>
      </c>
      <c r="G473">
        <v>3.5</v>
      </c>
      <c r="H473">
        <v>60447</v>
      </c>
      <c r="I473" t="s">
        <v>976</v>
      </c>
      <c r="J473">
        <v>89.7</v>
      </c>
      <c r="K473">
        <v>27.2</v>
      </c>
      <c r="L473">
        <v>78</v>
      </c>
      <c r="M473">
        <v>101</v>
      </c>
      <c r="N473">
        <v>73</v>
      </c>
      <c r="O473">
        <v>6</v>
      </c>
      <c r="P473">
        <v>13</v>
      </c>
      <c r="Q473" t="s">
        <v>37</v>
      </c>
      <c r="R473" t="s">
        <v>57</v>
      </c>
    </row>
    <row r="474" spans="1:18" x14ac:dyDescent="0.25">
      <c r="A474">
        <v>1473</v>
      </c>
      <c r="B474" t="s">
        <v>977</v>
      </c>
      <c r="C474" t="s">
        <v>32</v>
      </c>
      <c r="D474" t="s">
        <v>106</v>
      </c>
      <c r="E474" t="s">
        <v>34</v>
      </c>
      <c r="F474" t="s">
        <v>76</v>
      </c>
      <c r="G474">
        <v>1.4</v>
      </c>
      <c r="H474">
        <v>51798</v>
      </c>
      <c r="I474" t="s">
        <v>978</v>
      </c>
      <c r="J474">
        <v>89.1</v>
      </c>
      <c r="K474">
        <v>26.7</v>
      </c>
      <c r="L474">
        <v>88.1</v>
      </c>
      <c r="M474">
        <v>104</v>
      </c>
      <c r="N474">
        <v>97</v>
      </c>
      <c r="O474">
        <v>2</v>
      </c>
      <c r="P474">
        <v>20</v>
      </c>
      <c r="Q474" t="s">
        <v>37</v>
      </c>
      <c r="R474" t="s">
        <v>25</v>
      </c>
    </row>
    <row r="475" spans="1:18" x14ac:dyDescent="0.25">
      <c r="A475">
        <v>1474</v>
      </c>
      <c r="B475" t="s">
        <v>979</v>
      </c>
      <c r="C475" t="s">
        <v>89</v>
      </c>
      <c r="D475" t="s">
        <v>102</v>
      </c>
      <c r="E475" t="s">
        <v>111</v>
      </c>
      <c r="F475" t="s">
        <v>22</v>
      </c>
      <c r="G475">
        <v>7.4</v>
      </c>
      <c r="H475">
        <v>80864</v>
      </c>
      <c r="I475" t="s">
        <v>980</v>
      </c>
      <c r="J475">
        <v>86</v>
      </c>
      <c r="K475">
        <v>22.5</v>
      </c>
      <c r="L475">
        <v>83.4</v>
      </c>
      <c r="M475">
        <v>93</v>
      </c>
      <c r="N475">
        <v>77</v>
      </c>
      <c r="O475">
        <v>5</v>
      </c>
      <c r="P475">
        <v>24</v>
      </c>
      <c r="Q475" t="s">
        <v>37</v>
      </c>
      <c r="R475" t="s">
        <v>25</v>
      </c>
    </row>
    <row r="476" spans="1:18" x14ac:dyDescent="0.25">
      <c r="A476">
        <v>1475</v>
      </c>
      <c r="B476" t="s">
        <v>981</v>
      </c>
      <c r="C476" t="s">
        <v>89</v>
      </c>
      <c r="D476" t="s">
        <v>102</v>
      </c>
      <c r="E476" t="s">
        <v>152</v>
      </c>
      <c r="F476" t="s">
        <v>35</v>
      </c>
      <c r="G476">
        <v>2.8</v>
      </c>
      <c r="H476">
        <v>52118</v>
      </c>
      <c r="I476" t="s">
        <v>982</v>
      </c>
      <c r="J476">
        <v>86.4</v>
      </c>
      <c r="K476">
        <v>8.4</v>
      </c>
      <c r="L476">
        <v>82.2</v>
      </c>
      <c r="M476">
        <v>70</v>
      </c>
      <c r="N476">
        <v>53</v>
      </c>
      <c r="O476">
        <v>4</v>
      </c>
      <c r="P476">
        <v>16</v>
      </c>
      <c r="Q476" t="s">
        <v>24</v>
      </c>
      <c r="R476" t="s">
        <v>25</v>
      </c>
    </row>
    <row r="477" spans="1:18" x14ac:dyDescent="0.25">
      <c r="A477">
        <v>1476</v>
      </c>
      <c r="B477" t="s">
        <v>983</v>
      </c>
      <c r="C477" t="s">
        <v>19</v>
      </c>
      <c r="D477" t="s">
        <v>81</v>
      </c>
      <c r="E477" t="s">
        <v>21</v>
      </c>
      <c r="F477" t="s">
        <v>76</v>
      </c>
      <c r="G477">
        <v>2.4</v>
      </c>
      <c r="H477">
        <v>57477</v>
      </c>
      <c r="I477" t="s">
        <v>984</v>
      </c>
      <c r="J477">
        <v>95.3</v>
      </c>
      <c r="K477">
        <v>22.1</v>
      </c>
      <c r="L477">
        <v>90</v>
      </c>
      <c r="M477">
        <v>83</v>
      </c>
      <c r="N477">
        <v>75</v>
      </c>
      <c r="O477">
        <v>7</v>
      </c>
      <c r="P477">
        <v>11</v>
      </c>
      <c r="Q477" t="s">
        <v>24</v>
      </c>
      <c r="R477" t="s">
        <v>62</v>
      </c>
    </row>
    <row r="478" spans="1:18" x14ac:dyDescent="0.25">
      <c r="A478">
        <v>1477</v>
      </c>
      <c r="B478" t="s">
        <v>985</v>
      </c>
      <c r="C478" t="s">
        <v>44</v>
      </c>
      <c r="D478" t="s">
        <v>45</v>
      </c>
      <c r="E478" t="s">
        <v>55</v>
      </c>
      <c r="F478" t="s">
        <v>86</v>
      </c>
      <c r="G478">
        <v>2.7</v>
      </c>
      <c r="H478">
        <v>46509</v>
      </c>
      <c r="I478" t="s">
        <v>986</v>
      </c>
      <c r="J478">
        <v>90.4</v>
      </c>
      <c r="K478">
        <v>27.7</v>
      </c>
      <c r="L478">
        <v>67.8</v>
      </c>
      <c r="M478">
        <v>90</v>
      </c>
      <c r="N478">
        <v>52</v>
      </c>
      <c r="O478">
        <v>6</v>
      </c>
      <c r="P478">
        <v>14</v>
      </c>
      <c r="Q478" t="s">
        <v>37</v>
      </c>
      <c r="R478" t="s">
        <v>203</v>
      </c>
    </row>
    <row r="479" spans="1:18" x14ac:dyDescent="0.25">
      <c r="A479">
        <v>1478</v>
      </c>
      <c r="B479" t="s">
        <v>987</v>
      </c>
      <c r="C479" t="s">
        <v>89</v>
      </c>
      <c r="D479" t="s">
        <v>90</v>
      </c>
      <c r="E479" t="s">
        <v>91</v>
      </c>
      <c r="F479" t="s">
        <v>76</v>
      </c>
      <c r="G479">
        <v>2.7</v>
      </c>
      <c r="H479">
        <v>62951</v>
      </c>
      <c r="I479" t="s">
        <v>988</v>
      </c>
      <c r="J479">
        <v>86.9</v>
      </c>
      <c r="K479">
        <v>27.1</v>
      </c>
      <c r="L479">
        <v>86.3</v>
      </c>
      <c r="M479">
        <v>108</v>
      </c>
      <c r="N479">
        <v>104</v>
      </c>
      <c r="O479">
        <v>4</v>
      </c>
      <c r="P479">
        <v>19</v>
      </c>
      <c r="Q479" t="s">
        <v>24</v>
      </c>
      <c r="R479" t="s">
        <v>25</v>
      </c>
    </row>
    <row r="480" spans="1:18" x14ac:dyDescent="0.25">
      <c r="A480">
        <v>1479</v>
      </c>
      <c r="B480" t="s">
        <v>989</v>
      </c>
      <c r="C480" t="s">
        <v>19</v>
      </c>
      <c r="D480" t="s">
        <v>137</v>
      </c>
      <c r="E480" t="s">
        <v>39</v>
      </c>
      <c r="F480" t="s">
        <v>86</v>
      </c>
      <c r="G480">
        <v>2.6</v>
      </c>
      <c r="H480">
        <v>56491</v>
      </c>
      <c r="I480" t="s">
        <v>990</v>
      </c>
      <c r="J480">
        <v>100</v>
      </c>
      <c r="K480">
        <v>6</v>
      </c>
      <c r="L480">
        <v>81.099999999999994</v>
      </c>
      <c r="M480">
        <v>95</v>
      </c>
      <c r="N480">
        <v>77</v>
      </c>
      <c r="O480">
        <v>0</v>
      </c>
      <c r="P480">
        <v>9</v>
      </c>
      <c r="Q480" t="s">
        <v>24</v>
      </c>
      <c r="R480" t="s">
        <v>25</v>
      </c>
    </row>
    <row r="481" spans="1:18" x14ac:dyDescent="0.25">
      <c r="A481">
        <v>1480</v>
      </c>
      <c r="B481" t="s">
        <v>991</v>
      </c>
      <c r="C481" t="s">
        <v>27</v>
      </c>
      <c r="D481" t="s">
        <v>75</v>
      </c>
      <c r="E481" t="s">
        <v>29</v>
      </c>
      <c r="F481" t="s">
        <v>103</v>
      </c>
      <c r="G481">
        <v>4.0999999999999996</v>
      </c>
      <c r="H481">
        <v>62871</v>
      </c>
      <c r="I481" t="s">
        <v>992</v>
      </c>
      <c r="J481">
        <v>93.1</v>
      </c>
      <c r="K481">
        <v>17</v>
      </c>
      <c r="L481">
        <v>89.2</v>
      </c>
      <c r="M481">
        <v>82</v>
      </c>
      <c r="N481">
        <v>73</v>
      </c>
      <c r="O481">
        <v>0</v>
      </c>
      <c r="P481">
        <v>9</v>
      </c>
      <c r="Q481" t="s">
        <v>42</v>
      </c>
      <c r="R481" t="s">
        <v>25</v>
      </c>
    </row>
    <row r="482" spans="1:18" x14ac:dyDescent="0.25">
      <c r="A482">
        <v>1481</v>
      </c>
      <c r="B482" t="s">
        <v>993</v>
      </c>
      <c r="C482" t="s">
        <v>49</v>
      </c>
      <c r="D482" t="s">
        <v>178</v>
      </c>
      <c r="E482" t="s">
        <v>60</v>
      </c>
      <c r="F482" t="s">
        <v>86</v>
      </c>
      <c r="G482">
        <v>3.6</v>
      </c>
      <c r="H482">
        <v>76191</v>
      </c>
      <c r="I482" t="s">
        <v>994</v>
      </c>
      <c r="J482">
        <v>91.6</v>
      </c>
      <c r="K482">
        <v>22</v>
      </c>
      <c r="L482">
        <v>89.3</v>
      </c>
      <c r="M482">
        <v>118</v>
      </c>
      <c r="N482">
        <v>109</v>
      </c>
      <c r="O482">
        <v>0</v>
      </c>
      <c r="P482">
        <v>18</v>
      </c>
      <c r="Q482" t="s">
        <v>42</v>
      </c>
      <c r="R482" t="s">
        <v>25</v>
      </c>
    </row>
    <row r="483" spans="1:18" x14ac:dyDescent="0.25">
      <c r="A483">
        <v>1482</v>
      </c>
      <c r="B483" t="s">
        <v>995</v>
      </c>
      <c r="C483" t="s">
        <v>49</v>
      </c>
      <c r="D483" t="s">
        <v>178</v>
      </c>
      <c r="E483" t="s">
        <v>60</v>
      </c>
      <c r="F483" t="s">
        <v>103</v>
      </c>
      <c r="G483">
        <v>0.2</v>
      </c>
      <c r="H483">
        <v>36188</v>
      </c>
      <c r="I483" t="s">
        <v>23</v>
      </c>
      <c r="J483">
        <v>90.6</v>
      </c>
      <c r="K483">
        <v>20.2</v>
      </c>
      <c r="L483">
        <v>82</v>
      </c>
      <c r="M483">
        <v>88</v>
      </c>
      <c r="N483">
        <v>67</v>
      </c>
      <c r="O483">
        <v>3</v>
      </c>
      <c r="P483">
        <v>15</v>
      </c>
      <c r="Q483" t="s">
        <v>42</v>
      </c>
      <c r="R483" t="s">
        <v>25</v>
      </c>
    </row>
    <row r="484" spans="1:18" x14ac:dyDescent="0.25">
      <c r="A484">
        <v>1483</v>
      </c>
      <c r="B484" t="s">
        <v>996</v>
      </c>
      <c r="C484" t="s">
        <v>27</v>
      </c>
      <c r="D484" t="s">
        <v>64</v>
      </c>
      <c r="E484" t="s">
        <v>118</v>
      </c>
      <c r="F484" t="s">
        <v>103</v>
      </c>
      <c r="G484">
        <v>6.2</v>
      </c>
      <c r="H484">
        <v>71952</v>
      </c>
      <c r="I484" t="s">
        <v>732</v>
      </c>
      <c r="J484">
        <v>89.1</v>
      </c>
      <c r="K484">
        <v>17</v>
      </c>
      <c r="L484">
        <v>89.1</v>
      </c>
      <c r="M484">
        <v>75</v>
      </c>
      <c r="N484">
        <v>61</v>
      </c>
      <c r="O484">
        <v>5</v>
      </c>
      <c r="P484">
        <v>10</v>
      </c>
      <c r="Q484" t="s">
        <v>42</v>
      </c>
      <c r="R484" t="s">
        <v>25</v>
      </c>
    </row>
    <row r="485" spans="1:18" x14ac:dyDescent="0.25">
      <c r="A485">
        <v>1484</v>
      </c>
      <c r="B485" t="s">
        <v>997</v>
      </c>
      <c r="C485" t="s">
        <v>49</v>
      </c>
      <c r="D485" t="s">
        <v>178</v>
      </c>
      <c r="E485" t="s">
        <v>163</v>
      </c>
      <c r="F485" t="s">
        <v>40</v>
      </c>
      <c r="G485">
        <v>5.8</v>
      </c>
      <c r="H485">
        <v>68567</v>
      </c>
      <c r="I485" t="s">
        <v>998</v>
      </c>
      <c r="J485">
        <v>97.8</v>
      </c>
      <c r="K485">
        <v>24.4</v>
      </c>
      <c r="L485">
        <v>87.8</v>
      </c>
      <c r="M485">
        <v>60</v>
      </c>
      <c r="N485">
        <v>59</v>
      </c>
      <c r="O485">
        <v>0</v>
      </c>
      <c r="P485">
        <v>7</v>
      </c>
      <c r="Q485" t="s">
        <v>42</v>
      </c>
      <c r="R485" t="s">
        <v>25</v>
      </c>
    </row>
    <row r="486" spans="1:18" x14ac:dyDescent="0.25">
      <c r="A486">
        <v>1485</v>
      </c>
      <c r="B486" t="s">
        <v>999</v>
      </c>
      <c r="C486" t="s">
        <v>27</v>
      </c>
      <c r="D486" t="s">
        <v>64</v>
      </c>
      <c r="E486" t="s">
        <v>85</v>
      </c>
      <c r="F486" t="s">
        <v>76</v>
      </c>
      <c r="G486">
        <v>5.2</v>
      </c>
      <c r="H486">
        <v>62666</v>
      </c>
      <c r="I486" t="s">
        <v>146</v>
      </c>
      <c r="J486">
        <v>94.7</v>
      </c>
      <c r="K486">
        <v>20</v>
      </c>
      <c r="L486">
        <v>88.3</v>
      </c>
      <c r="M486">
        <v>68</v>
      </c>
      <c r="N486">
        <v>66</v>
      </c>
      <c r="O486">
        <v>2</v>
      </c>
      <c r="P486">
        <v>11</v>
      </c>
      <c r="Q486" t="s">
        <v>42</v>
      </c>
      <c r="R486" t="s">
        <v>25</v>
      </c>
    </row>
    <row r="487" spans="1:18" x14ac:dyDescent="0.25">
      <c r="A487">
        <v>1486</v>
      </c>
      <c r="B487" t="s">
        <v>1000</v>
      </c>
      <c r="C487" t="s">
        <v>49</v>
      </c>
      <c r="D487" t="s">
        <v>59</v>
      </c>
      <c r="E487" t="s">
        <v>51</v>
      </c>
      <c r="F487" t="s">
        <v>22</v>
      </c>
      <c r="G487">
        <v>5.3</v>
      </c>
      <c r="H487">
        <v>75592</v>
      </c>
      <c r="I487" t="s">
        <v>1001</v>
      </c>
      <c r="J487">
        <v>93.1</v>
      </c>
      <c r="K487">
        <v>10.6</v>
      </c>
      <c r="L487">
        <v>84.4</v>
      </c>
      <c r="M487">
        <v>43</v>
      </c>
      <c r="N487">
        <v>38</v>
      </c>
      <c r="O487">
        <v>7</v>
      </c>
      <c r="P487">
        <v>8</v>
      </c>
      <c r="Q487" t="s">
        <v>24</v>
      </c>
      <c r="R487" t="s">
        <v>25</v>
      </c>
    </row>
    <row r="488" spans="1:18" x14ac:dyDescent="0.25">
      <c r="A488">
        <v>1487</v>
      </c>
      <c r="B488" t="s">
        <v>1002</v>
      </c>
      <c r="C488" t="s">
        <v>32</v>
      </c>
      <c r="D488" t="s">
        <v>33</v>
      </c>
      <c r="E488" t="s">
        <v>128</v>
      </c>
      <c r="F488" t="s">
        <v>22</v>
      </c>
      <c r="G488">
        <v>2.6</v>
      </c>
      <c r="H488">
        <v>61538</v>
      </c>
      <c r="I488" t="s">
        <v>1003</v>
      </c>
      <c r="J488">
        <v>95.7</v>
      </c>
      <c r="K488">
        <v>25.2</v>
      </c>
      <c r="L488">
        <v>90.5</v>
      </c>
      <c r="M488">
        <v>107</v>
      </c>
      <c r="N488">
        <v>103</v>
      </c>
      <c r="O488">
        <v>0</v>
      </c>
      <c r="P488">
        <v>20</v>
      </c>
      <c r="Q488" t="s">
        <v>24</v>
      </c>
      <c r="R488" t="s">
        <v>62</v>
      </c>
    </row>
    <row r="489" spans="1:18" x14ac:dyDescent="0.25">
      <c r="A489">
        <v>1488</v>
      </c>
      <c r="B489" t="s">
        <v>1004</v>
      </c>
      <c r="C489" t="s">
        <v>27</v>
      </c>
      <c r="D489" t="s">
        <v>75</v>
      </c>
      <c r="E489" t="s">
        <v>118</v>
      </c>
      <c r="F489" t="s">
        <v>86</v>
      </c>
      <c r="G489">
        <v>6.5</v>
      </c>
      <c r="H489">
        <v>81920</v>
      </c>
      <c r="I489" t="s">
        <v>1005</v>
      </c>
      <c r="J489">
        <v>93.7</v>
      </c>
      <c r="K489">
        <v>11.3</v>
      </c>
      <c r="L489">
        <v>89</v>
      </c>
      <c r="M489">
        <v>72</v>
      </c>
      <c r="N489">
        <v>56</v>
      </c>
      <c r="O489">
        <v>0</v>
      </c>
      <c r="P489">
        <v>2</v>
      </c>
      <c r="Q489" t="s">
        <v>42</v>
      </c>
      <c r="R489" t="s">
        <v>25</v>
      </c>
    </row>
    <row r="490" spans="1:18" x14ac:dyDescent="0.25">
      <c r="A490">
        <v>1489</v>
      </c>
      <c r="B490" t="s">
        <v>1006</v>
      </c>
      <c r="C490" t="s">
        <v>44</v>
      </c>
      <c r="D490" t="s">
        <v>45</v>
      </c>
      <c r="E490" t="s">
        <v>46</v>
      </c>
      <c r="F490" t="s">
        <v>86</v>
      </c>
      <c r="G490">
        <v>4.2</v>
      </c>
      <c r="H490">
        <v>57201</v>
      </c>
      <c r="I490" t="s">
        <v>1007</v>
      </c>
      <c r="J490">
        <v>87.3</v>
      </c>
      <c r="K490">
        <v>18.399999999999999</v>
      </c>
      <c r="L490">
        <v>81.099999999999994</v>
      </c>
      <c r="M490">
        <v>108</v>
      </c>
      <c r="N490">
        <v>91</v>
      </c>
      <c r="O490">
        <v>2</v>
      </c>
      <c r="P490">
        <v>28</v>
      </c>
      <c r="Q490" t="s">
        <v>24</v>
      </c>
      <c r="R490" t="s">
        <v>25</v>
      </c>
    </row>
    <row r="491" spans="1:18" x14ac:dyDescent="0.25">
      <c r="A491">
        <v>1490</v>
      </c>
      <c r="B491" t="s">
        <v>1008</v>
      </c>
      <c r="C491" t="s">
        <v>32</v>
      </c>
      <c r="D491" t="s">
        <v>106</v>
      </c>
      <c r="E491" t="s">
        <v>128</v>
      </c>
      <c r="F491" t="s">
        <v>22</v>
      </c>
      <c r="G491">
        <v>3.6</v>
      </c>
      <c r="H491">
        <v>57230</v>
      </c>
      <c r="I491" t="s">
        <v>1009</v>
      </c>
      <c r="J491">
        <v>91.2</v>
      </c>
      <c r="K491">
        <v>20.100000000000001</v>
      </c>
      <c r="L491">
        <v>86</v>
      </c>
      <c r="M491">
        <v>102</v>
      </c>
      <c r="N491">
        <v>87</v>
      </c>
      <c r="O491">
        <v>4</v>
      </c>
      <c r="P491">
        <v>15</v>
      </c>
      <c r="Q491" t="s">
        <v>24</v>
      </c>
      <c r="R491" t="s">
        <v>25</v>
      </c>
    </row>
    <row r="492" spans="1:18" x14ac:dyDescent="0.25">
      <c r="A492">
        <v>1491</v>
      </c>
      <c r="B492" t="s">
        <v>1010</v>
      </c>
      <c r="C492" t="s">
        <v>44</v>
      </c>
      <c r="D492" t="s">
        <v>54</v>
      </c>
      <c r="E492" t="s">
        <v>97</v>
      </c>
      <c r="F492" t="s">
        <v>76</v>
      </c>
      <c r="G492">
        <v>3.8</v>
      </c>
      <c r="H492">
        <v>66345</v>
      </c>
      <c r="I492" t="s">
        <v>1011</v>
      </c>
      <c r="J492">
        <v>90.5</v>
      </c>
      <c r="K492">
        <v>32.6</v>
      </c>
      <c r="L492">
        <v>74.400000000000006</v>
      </c>
      <c r="M492">
        <v>107</v>
      </c>
      <c r="N492">
        <v>82</v>
      </c>
      <c r="O492">
        <v>4</v>
      </c>
      <c r="P492">
        <v>20</v>
      </c>
      <c r="Q492" t="s">
        <v>37</v>
      </c>
      <c r="R492" t="s">
        <v>57</v>
      </c>
    </row>
    <row r="493" spans="1:18" x14ac:dyDescent="0.25">
      <c r="A493">
        <v>1492</v>
      </c>
      <c r="B493" t="s">
        <v>1012</v>
      </c>
      <c r="C493" t="s">
        <v>19</v>
      </c>
      <c r="D493" t="s">
        <v>20</v>
      </c>
      <c r="E493" t="s">
        <v>21</v>
      </c>
      <c r="F493" t="s">
        <v>76</v>
      </c>
      <c r="G493">
        <v>1.5</v>
      </c>
      <c r="H493">
        <v>34101</v>
      </c>
      <c r="I493" t="s">
        <v>1013</v>
      </c>
      <c r="J493">
        <v>97.7</v>
      </c>
      <c r="K493">
        <v>12.4</v>
      </c>
      <c r="L493">
        <v>81.5</v>
      </c>
      <c r="M493">
        <v>73</v>
      </c>
      <c r="N493">
        <v>59</v>
      </c>
      <c r="O493">
        <v>5</v>
      </c>
      <c r="P493">
        <v>16</v>
      </c>
      <c r="Q493" t="s">
        <v>24</v>
      </c>
      <c r="R493" t="s">
        <v>25</v>
      </c>
    </row>
    <row r="494" spans="1:18" x14ac:dyDescent="0.25">
      <c r="A494">
        <v>1493</v>
      </c>
      <c r="B494" t="s">
        <v>1014</v>
      </c>
      <c r="C494" t="s">
        <v>89</v>
      </c>
      <c r="D494" t="s">
        <v>90</v>
      </c>
      <c r="E494" t="s">
        <v>91</v>
      </c>
      <c r="F494" t="s">
        <v>86</v>
      </c>
      <c r="G494">
        <v>8.9</v>
      </c>
      <c r="H494">
        <v>82792</v>
      </c>
      <c r="I494" t="s">
        <v>1015</v>
      </c>
      <c r="J494">
        <v>95.6</v>
      </c>
      <c r="K494">
        <v>15.2</v>
      </c>
      <c r="L494">
        <v>95.5</v>
      </c>
      <c r="M494">
        <v>80</v>
      </c>
      <c r="N494">
        <v>69</v>
      </c>
      <c r="O494">
        <v>2</v>
      </c>
      <c r="P494">
        <v>13</v>
      </c>
      <c r="Q494" t="s">
        <v>42</v>
      </c>
      <c r="R494" t="s">
        <v>62</v>
      </c>
    </row>
    <row r="495" spans="1:18" x14ac:dyDescent="0.25">
      <c r="A495">
        <v>1494</v>
      </c>
      <c r="B495" t="s">
        <v>1016</v>
      </c>
      <c r="C495" t="s">
        <v>27</v>
      </c>
      <c r="D495" t="s">
        <v>64</v>
      </c>
      <c r="E495" t="s">
        <v>118</v>
      </c>
      <c r="F495" t="s">
        <v>103</v>
      </c>
      <c r="G495">
        <v>5.9</v>
      </c>
      <c r="H495">
        <v>75278</v>
      </c>
      <c r="I495" t="s">
        <v>1017</v>
      </c>
      <c r="J495">
        <v>92.9</v>
      </c>
      <c r="K495">
        <v>16.399999999999999</v>
      </c>
      <c r="L495">
        <v>90.2</v>
      </c>
      <c r="M495">
        <v>97</v>
      </c>
      <c r="N495">
        <v>97</v>
      </c>
      <c r="O495">
        <v>6</v>
      </c>
      <c r="P495">
        <v>13</v>
      </c>
      <c r="Q495" t="s">
        <v>42</v>
      </c>
      <c r="R495" t="s">
        <v>62</v>
      </c>
    </row>
    <row r="496" spans="1:18" x14ac:dyDescent="0.25">
      <c r="A496">
        <v>1495</v>
      </c>
      <c r="B496" t="s">
        <v>1018</v>
      </c>
      <c r="C496" t="s">
        <v>27</v>
      </c>
      <c r="D496" t="s">
        <v>75</v>
      </c>
      <c r="E496" t="s">
        <v>118</v>
      </c>
      <c r="F496" t="s">
        <v>86</v>
      </c>
      <c r="G496">
        <v>7.9</v>
      </c>
      <c r="H496">
        <v>102649</v>
      </c>
      <c r="I496" t="s">
        <v>1019</v>
      </c>
      <c r="J496">
        <v>92.4</v>
      </c>
      <c r="K496">
        <v>6.8</v>
      </c>
      <c r="L496">
        <v>90.9</v>
      </c>
      <c r="M496">
        <v>42</v>
      </c>
      <c r="N496">
        <v>34</v>
      </c>
      <c r="O496">
        <v>3</v>
      </c>
      <c r="P496">
        <v>13</v>
      </c>
      <c r="Q496" t="s">
        <v>42</v>
      </c>
      <c r="R496" t="s">
        <v>62</v>
      </c>
    </row>
    <row r="497" spans="1:18" x14ac:dyDescent="0.25">
      <c r="A497">
        <v>1496</v>
      </c>
      <c r="B497" t="s">
        <v>1020</v>
      </c>
      <c r="C497" t="s">
        <v>44</v>
      </c>
      <c r="D497" t="s">
        <v>45</v>
      </c>
      <c r="E497" t="s">
        <v>55</v>
      </c>
      <c r="F497" t="s">
        <v>86</v>
      </c>
      <c r="G497">
        <v>3.6</v>
      </c>
      <c r="H497">
        <v>62578</v>
      </c>
      <c r="I497" t="s">
        <v>215</v>
      </c>
      <c r="J497">
        <v>86.4</v>
      </c>
      <c r="K497">
        <v>26.4</v>
      </c>
      <c r="L497">
        <v>78.3</v>
      </c>
      <c r="M497">
        <v>100</v>
      </c>
      <c r="N497">
        <v>72</v>
      </c>
      <c r="O497">
        <v>3</v>
      </c>
      <c r="P497">
        <v>23</v>
      </c>
      <c r="Q497" t="s">
        <v>37</v>
      </c>
      <c r="R497" t="s">
        <v>57</v>
      </c>
    </row>
    <row r="498" spans="1:18" x14ac:dyDescent="0.25">
      <c r="A498">
        <v>1497</v>
      </c>
      <c r="B498" t="s">
        <v>1021</v>
      </c>
      <c r="C498" t="s">
        <v>49</v>
      </c>
      <c r="D498" t="s">
        <v>59</v>
      </c>
      <c r="E498" t="s">
        <v>51</v>
      </c>
      <c r="F498" t="s">
        <v>35</v>
      </c>
      <c r="G498">
        <v>6.3</v>
      </c>
      <c r="H498">
        <v>66176</v>
      </c>
      <c r="I498" t="s">
        <v>1022</v>
      </c>
      <c r="J498">
        <v>91.5</v>
      </c>
      <c r="K498">
        <v>28.8</v>
      </c>
      <c r="L498">
        <v>90.4</v>
      </c>
      <c r="M498">
        <v>92</v>
      </c>
      <c r="N498">
        <v>92</v>
      </c>
      <c r="O498">
        <v>0</v>
      </c>
      <c r="P498">
        <v>14</v>
      </c>
      <c r="Q498" t="s">
        <v>24</v>
      </c>
      <c r="R498" t="s">
        <v>62</v>
      </c>
    </row>
    <row r="499" spans="1:18" x14ac:dyDescent="0.25">
      <c r="A499">
        <v>1498</v>
      </c>
      <c r="B499" t="s">
        <v>1023</v>
      </c>
      <c r="C499" t="s">
        <v>27</v>
      </c>
      <c r="D499" t="s">
        <v>64</v>
      </c>
      <c r="E499" t="s">
        <v>118</v>
      </c>
      <c r="F499" t="s">
        <v>76</v>
      </c>
      <c r="G499">
        <v>4.9000000000000004</v>
      </c>
      <c r="H499">
        <v>69812</v>
      </c>
      <c r="I499" t="s">
        <v>1024</v>
      </c>
      <c r="J499">
        <v>93.4</v>
      </c>
      <c r="K499">
        <v>15.2</v>
      </c>
      <c r="L499">
        <v>92</v>
      </c>
      <c r="M499">
        <v>75</v>
      </c>
      <c r="N499">
        <v>73</v>
      </c>
      <c r="O499">
        <v>2</v>
      </c>
      <c r="P499">
        <v>3</v>
      </c>
      <c r="Q499" t="s">
        <v>42</v>
      </c>
      <c r="R499" t="s">
        <v>62</v>
      </c>
    </row>
    <row r="500" spans="1:18" x14ac:dyDescent="0.25">
      <c r="A500">
        <v>1499</v>
      </c>
      <c r="B500" t="s">
        <v>1025</v>
      </c>
      <c r="C500" t="s">
        <v>27</v>
      </c>
      <c r="D500" t="s">
        <v>64</v>
      </c>
      <c r="E500" t="s">
        <v>118</v>
      </c>
      <c r="F500" t="s">
        <v>103</v>
      </c>
      <c r="G500">
        <v>4.5999999999999996</v>
      </c>
      <c r="H500">
        <v>70191</v>
      </c>
      <c r="I500" t="s">
        <v>1026</v>
      </c>
      <c r="J500">
        <v>86.1</v>
      </c>
      <c r="K500">
        <v>6.7</v>
      </c>
      <c r="L500">
        <v>87.5</v>
      </c>
      <c r="M500">
        <v>49</v>
      </c>
      <c r="N500">
        <v>44</v>
      </c>
      <c r="O500">
        <v>4</v>
      </c>
      <c r="P500">
        <v>9</v>
      </c>
      <c r="Q500" t="s">
        <v>24</v>
      </c>
      <c r="R500" t="s">
        <v>25</v>
      </c>
    </row>
    <row r="501" spans="1:18" x14ac:dyDescent="0.25">
      <c r="A501">
        <v>1500</v>
      </c>
      <c r="B501" t="s">
        <v>1027</v>
      </c>
      <c r="C501" t="s">
        <v>32</v>
      </c>
      <c r="D501" t="s">
        <v>106</v>
      </c>
      <c r="E501" t="s">
        <v>128</v>
      </c>
      <c r="F501" t="s">
        <v>40</v>
      </c>
      <c r="G501">
        <v>4.7</v>
      </c>
      <c r="H501">
        <v>66342</v>
      </c>
      <c r="I501" t="s">
        <v>1028</v>
      </c>
      <c r="J501">
        <v>89</v>
      </c>
      <c r="K501">
        <v>30.3</v>
      </c>
      <c r="L501">
        <v>83.2</v>
      </c>
      <c r="M501">
        <v>162</v>
      </c>
      <c r="N501">
        <v>121</v>
      </c>
      <c r="O501">
        <v>3</v>
      </c>
      <c r="P501">
        <v>20</v>
      </c>
      <c r="Q501" t="s">
        <v>37</v>
      </c>
      <c r="R501" t="s">
        <v>25</v>
      </c>
    </row>
    <row r="502" spans="1:18" x14ac:dyDescent="0.25">
      <c r="A502">
        <v>1501</v>
      </c>
      <c r="B502" t="s">
        <v>1029</v>
      </c>
      <c r="C502" t="s">
        <v>49</v>
      </c>
      <c r="D502" t="s">
        <v>50</v>
      </c>
      <c r="E502" t="s">
        <v>60</v>
      </c>
      <c r="F502" t="s">
        <v>40</v>
      </c>
      <c r="G502">
        <v>8.5</v>
      </c>
      <c r="H502">
        <v>91075</v>
      </c>
      <c r="I502" t="s">
        <v>919</v>
      </c>
      <c r="J502">
        <v>97.3</v>
      </c>
      <c r="K502">
        <v>1.2</v>
      </c>
      <c r="L502">
        <v>81.5</v>
      </c>
      <c r="M502">
        <v>48</v>
      </c>
      <c r="N502">
        <v>38</v>
      </c>
      <c r="O502">
        <v>4</v>
      </c>
      <c r="P502">
        <v>7</v>
      </c>
      <c r="Q502" t="s">
        <v>24</v>
      </c>
      <c r="R502" t="s">
        <v>25</v>
      </c>
    </row>
    <row r="503" spans="1:18" x14ac:dyDescent="0.25">
      <c r="A503">
        <v>1502</v>
      </c>
      <c r="B503" t="s">
        <v>1030</v>
      </c>
      <c r="C503" t="s">
        <v>89</v>
      </c>
      <c r="D503" t="s">
        <v>102</v>
      </c>
      <c r="E503" t="s">
        <v>111</v>
      </c>
      <c r="F503" t="s">
        <v>40</v>
      </c>
      <c r="G503">
        <v>3.3</v>
      </c>
      <c r="H503">
        <v>56980</v>
      </c>
      <c r="I503" t="s">
        <v>1031</v>
      </c>
      <c r="J503">
        <v>94.1</v>
      </c>
      <c r="K503">
        <v>24.5</v>
      </c>
      <c r="L503">
        <v>87.2</v>
      </c>
      <c r="M503">
        <v>76</v>
      </c>
      <c r="N503">
        <v>68</v>
      </c>
      <c r="O503">
        <v>1</v>
      </c>
      <c r="P503">
        <v>19</v>
      </c>
      <c r="Q503" t="s">
        <v>24</v>
      </c>
      <c r="R503" t="s">
        <v>25</v>
      </c>
    </row>
    <row r="504" spans="1:18" x14ac:dyDescent="0.25">
      <c r="A504">
        <v>1503</v>
      </c>
      <c r="B504" t="s">
        <v>1032</v>
      </c>
      <c r="C504" t="s">
        <v>32</v>
      </c>
      <c r="D504" t="s">
        <v>33</v>
      </c>
      <c r="E504" t="s">
        <v>128</v>
      </c>
      <c r="F504" t="s">
        <v>22</v>
      </c>
      <c r="G504">
        <v>0.2</v>
      </c>
      <c r="H504">
        <v>42251</v>
      </c>
      <c r="I504" t="s">
        <v>590</v>
      </c>
      <c r="J504">
        <v>90.1</v>
      </c>
      <c r="K504">
        <v>32.1</v>
      </c>
      <c r="L504">
        <v>82.2</v>
      </c>
      <c r="M504">
        <v>132</v>
      </c>
      <c r="N504">
        <v>101</v>
      </c>
      <c r="O504">
        <v>1</v>
      </c>
      <c r="P504">
        <v>8</v>
      </c>
      <c r="Q504" t="s">
        <v>24</v>
      </c>
      <c r="R504" t="s">
        <v>25</v>
      </c>
    </row>
    <row r="505" spans="1:18" x14ac:dyDescent="0.25">
      <c r="A505">
        <v>1504</v>
      </c>
      <c r="B505" t="s">
        <v>1033</v>
      </c>
      <c r="C505" t="s">
        <v>27</v>
      </c>
      <c r="D505" t="s">
        <v>28</v>
      </c>
      <c r="E505" t="s">
        <v>29</v>
      </c>
      <c r="F505" t="s">
        <v>103</v>
      </c>
      <c r="G505">
        <v>0.2</v>
      </c>
      <c r="H505">
        <v>30651</v>
      </c>
      <c r="I505" t="s">
        <v>199</v>
      </c>
      <c r="J505">
        <v>89.8</v>
      </c>
      <c r="K505">
        <v>10.8</v>
      </c>
      <c r="L505">
        <v>88.1</v>
      </c>
      <c r="M505">
        <v>88</v>
      </c>
      <c r="N505">
        <v>87</v>
      </c>
      <c r="O505">
        <v>6</v>
      </c>
      <c r="P505">
        <v>5</v>
      </c>
      <c r="Q505" t="s">
        <v>42</v>
      </c>
      <c r="R505" t="s">
        <v>25</v>
      </c>
    </row>
    <row r="506" spans="1:18" x14ac:dyDescent="0.25">
      <c r="A506">
        <v>1505</v>
      </c>
      <c r="B506" t="s">
        <v>1034</v>
      </c>
      <c r="C506" t="s">
        <v>49</v>
      </c>
      <c r="D506" t="s">
        <v>50</v>
      </c>
      <c r="E506" t="s">
        <v>51</v>
      </c>
      <c r="F506" t="s">
        <v>40</v>
      </c>
      <c r="G506">
        <v>0.5</v>
      </c>
      <c r="H506">
        <v>31921</v>
      </c>
      <c r="I506" t="s">
        <v>632</v>
      </c>
      <c r="J506">
        <v>95.8</v>
      </c>
      <c r="K506">
        <v>1.5</v>
      </c>
      <c r="L506">
        <v>79.7</v>
      </c>
      <c r="M506">
        <v>49</v>
      </c>
      <c r="N506">
        <v>35</v>
      </c>
      <c r="O506">
        <v>2</v>
      </c>
      <c r="P506">
        <v>14</v>
      </c>
      <c r="Q506" t="s">
        <v>42</v>
      </c>
      <c r="R506" t="s">
        <v>57</v>
      </c>
    </row>
    <row r="507" spans="1:18" x14ac:dyDescent="0.25">
      <c r="A507">
        <v>1506</v>
      </c>
      <c r="B507" t="s">
        <v>1035</v>
      </c>
      <c r="C507" t="s">
        <v>89</v>
      </c>
      <c r="D507" t="s">
        <v>102</v>
      </c>
      <c r="E507" t="s">
        <v>91</v>
      </c>
      <c r="F507" t="s">
        <v>76</v>
      </c>
      <c r="G507">
        <v>0.7</v>
      </c>
      <c r="H507">
        <v>44373</v>
      </c>
      <c r="I507" t="s">
        <v>1036</v>
      </c>
      <c r="J507">
        <v>90.6</v>
      </c>
      <c r="K507">
        <v>26.2</v>
      </c>
      <c r="L507">
        <v>92.4</v>
      </c>
      <c r="M507">
        <v>73</v>
      </c>
      <c r="N507">
        <v>65</v>
      </c>
      <c r="O507">
        <v>1</v>
      </c>
      <c r="P507">
        <v>15</v>
      </c>
      <c r="Q507" t="s">
        <v>42</v>
      </c>
      <c r="R507" t="s">
        <v>62</v>
      </c>
    </row>
    <row r="508" spans="1:18" x14ac:dyDescent="0.25">
      <c r="A508">
        <v>1507</v>
      </c>
      <c r="B508" t="s">
        <v>1037</v>
      </c>
      <c r="C508" t="s">
        <v>49</v>
      </c>
      <c r="D508" t="s">
        <v>59</v>
      </c>
      <c r="E508" t="s">
        <v>51</v>
      </c>
      <c r="F508" t="s">
        <v>35</v>
      </c>
      <c r="G508">
        <v>0.2</v>
      </c>
      <c r="H508">
        <v>35190</v>
      </c>
      <c r="I508" t="s">
        <v>1038</v>
      </c>
      <c r="J508">
        <v>90.9</v>
      </c>
      <c r="K508">
        <v>9.5</v>
      </c>
      <c r="L508">
        <v>80.3</v>
      </c>
      <c r="M508">
        <v>66</v>
      </c>
      <c r="N508">
        <v>55</v>
      </c>
      <c r="O508">
        <v>3</v>
      </c>
      <c r="P508">
        <v>9</v>
      </c>
      <c r="Q508" t="s">
        <v>24</v>
      </c>
      <c r="R508" t="s">
        <v>25</v>
      </c>
    </row>
    <row r="509" spans="1:18" x14ac:dyDescent="0.25">
      <c r="A509">
        <v>1508</v>
      </c>
      <c r="B509" t="s">
        <v>1039</v>
      </c>
      <c r="C509" t="s">
        <v>19</v>
      </c>
      <c r="D509" t="s">
        <v>81</v>
      </c>
      <c r="E509" t="s">
        <v>82</v>
      </c>
      <c r="F509" t="s">
        <v>22</v>
      </c>
      <c r="G509">
        <v>4.8</v>
      </c>
      <c r="H509">
        <v>67065</v>
      </c>
      <c r="I509" t="s">
        <v>1040</v>
      </c>
      <c r="J509">
        <v>91.3</v>
      </c>
      <c r="K509">
        <v>33.299999999999997</v>
      </c>
      <c r="L509">
        <v>82.2</v>
      </c>
      <c r="M509">
        <v>86</v>
      </c>
      <c r="N509">
        <v>71</v>
      </c>
      <c r="O509">
        <v>5</v>
      </c>
      <c r="P509">
        <v>17</v>
      </c>
      <c r="Q509" t="s">
        <v>24</v>
      </c>
      <c r="R509" t="s">
        <v>25</v>
      </c>
    </row>
    <row r="510" spans="1:18" x14ac:dyDescent="0.25">
      <c r="A510">
        <v>1509</v>
      </c>
      <c r="B510" t="s">
        <v>1041</v>
      </c>
      <c r="C510" t="s">
        <v>44</v>
      </c>
      <c r="D510" t="s">
        <v>54</v>
      </c>
      <c r="E510" t="s">
        <v>46</v>
      </c>
      <c r="F510" t="s">
        <v>76</v>
      </c>
      <c r="G510">
        <v>3.5</v>
      </c>
      <c r="H510">
        <v>54908</v>
      </c>
      <c r="I510" t="s">
        <v>1042</v>
      </c>
      <c r="J510">
        <v>93.1</v>
      </c>
      <c r="K510">
        <v>19.3</v>
      </c>
      <c r="L510">
        <v>77.400000000000006</v>
      </c>
      <c r="M510">
        <v>102</v>
      </c>
      <c r="N510">
        <v>80</v>
      </c>
      <c r="O510">
        <v>6</v>
      </c>
      <c r="P510">
        <v>25</v>
      </c>
      <c r="Q510" t="s">
        <v>24</v>
      </c>
      <c r="R510" t="s">
        <v>57</v>
      </c>
    </row>
    <row r="511" spans="1:18" x14ac:dyDescent="0.25">
      <c r="A511">
        <v>1510</v>
      </c>
      <c r="B511" t="s">
        <v>1043</v>
      </c>
      <c r="C511" t="s">
        <v>49</v>
      </c>
      <c r="D511" t="s">
        <v>178</v>
      </c>
      <c r="E511" t="s">
        <v>60</v>
      </c>
      <c r="F511" t="s">
        <v>35</v>
      </c>
      <c r="G511">
        <v>6.7</v>
      </c>
      <c r="H511">
        <v>81883</v>
      </c>
      <c r="I511" t="s">
        <v>1044</v>
      </c>
      <c r="J511">
        <v>95.7</v>
      </c>
      <c r="K511">
        <v>0</v>
      </c>
      <c r="L511">
        <v>82.4</v>
      </c>
      <c r="M511">
        <v>56</v>
      </c>
      <c r="N511">
        <v>48</v>
      </c>
      <c r="O511">
        <v>0</v>
      </c>
      <c r="P511">
        <v>11</v>
      </c>
      <c r="Q511" t="s">
        <v>24</v>
      </c>
      <c r="R511" t="s">
        <v>25</v>
      </c>
    </row>
    <row r="512" spans="1:18" x14ac:dyDescent="0.25">
      <c r="A512">
        <v>1511</v>
      </c>
      <c r="B512" t="s">
        <v>1045</v>
      </c>
      <c r="C512" t="s">
        <v>89</v>
      </c>
      <c r="D512" t="s">
        <v>121</v>
      </c>
      <c r="E512" t="s">
        <v>152</v>
      </c>
      <c r="F512" t="s">
        <v>103</v>
      </c>
      <c r="G512">
        <v>9.1999999999999993</v>
      </c>
      <c r="H512">
        <v>101834</v>
      </c>
      <c r="I512" t="s">
        <v>1046</v>
      </c>
      <c r="J512">
        <v>100</v>
      </c>
      <c r="K512">
        <v>21.5</v>
      </c>
      <c r="L512">
        <v>89.1</v>
      </c>
      <c r="M512">
        <v>72</v>
      </c>
      <c r="N512">
        <v>65</v>
      </c>
      <c r="O512">
        <v>1</v>
      </c>
      <c r="P512">
        <v>22</v>
      </c>
      <c r="Q512" t="s">
        <v>24</v>
      </c>
      <c r="R512" t="s">
        <v>25</v>
      </c>
    </row>
    <row r="513" spans="1:18" x14ac:dyDescent="0.25">
      <c r="A513">
        <v>1512</v>
      </c>
      <c r="B513" t="s">
        <v>1047</v>
      </c>
      <c r="C513" t="s">
        <v>44</v>
      </c>
      <c r="D513" t="s">
        <v>45</v>
      </c>
      <c r="E513" t="s">
        <v>97</v>
      </c>
      <c r="F513" t="s">
        <v>40</v>
      </c>
      <c r="G513">
        <v>6.2</v>
      </c>
      <c r="H513">
        <v>81345</v>
      </c>
      <c r="I513" t="s">
        <v>1048</v>
      </c>
      <c r="J513">
        <v>94.5</v>
      </c>
      <c r="K513">
        <v>11.8</v>
      </c>
      <c r="L513">
        <v>80.599999999999994</v>
      </c>
      <c r="M513">
        <v>76</v>
      </c>
      <c r="N513">
        <v>61</v>
      </c>
      <c r="O513">
        <v>3</v>
      </c>
      <c r="P513">
        <v>31</v>
      </c>
      <c r="Q513" t="s">
        <v>24</v>
      </c>
      <c r="R513" t="s">
        <v>25</v>
      </c>
    </row>
    <row r="514" spans="1:18" x14ac:dyDescent="0.25">
      <c r="A514">
        <v>1513</v>
      </c>
      <c r="B514" t="s">
        <v>1049</v>
      </c>
      <c r="C514" t="s">
        <v>32</v>
      </c>
      <c r="D514" t="s">
        <v>106</v>
      </c>
      <c r="E514" t="s">
        <v>34</v>
      </c>
      <c r="F514" t="s">
        <v>22</v>
      </c>
      <c r="G514">
        <v>0.7</v>
      </c>
      <c r="H514">
        <v>40853</v>
      </c>
      <c r="I514" t="s">
        <v>1050</v>
      </c>
      <c r="J514">
        <v>90.8</v>
      </c>
      <c r="K514">
        <v>26</v>
      </c>
      <c r="L514">
        <v>91.5</v>
      </c>
      <c r="M514">
        <v>82</v>
      </c>
      <c r="N514">
        <v>71</v>
      </c>
      <c r="O514">
        <v>0</v>
      </c>
      <c r="P514">
        <v>25</v>
      </c>
      <c r="Q514" t="s">
        <v>24</v>
      </c>
      <c r="R514" t="s">
        <v>62</v>
      </c>
    </row>
    <row r="515" spans="1:18" x14ac:dyDescent="0.25">
      <c r="A515">
        <v>1514</v>
      </c>
      <c r="B515" t="s">
        <v>1051</v>
      </c>
      <c r="C515" t="s">
        <v>32</v>
      </c>
      <c r="D515" t="s">
        <v>33</v>
      </c>
      <c r="E515" t="s">
        <v>128</v>
      </c>
      <c r="F515" t="s">
        <v>22</v>
      </c>
      <c r="G515">
        <v>3.4</v>
      </c>
      <c r="H515">
        <v>46742</v>
      </c>
      <c r="I515" t="s">
        <v>1052</v>
      </c>
      <c r="J515">
        <v>84.9</v>
      </c>
      <c r="K515">
        <v>23.3</v>
      </c>
      <c r="L515">
        <v>83.7</v>
      </c>
      <c r="M515">
        <v>118</v>
      </c>
      <c r="N515">
        <v>93</v>
      </c>
      <c r="O515">
        <v>5</v>
      </c>
      <c r="P515">
        <v>20</v>
      </c>
      <c r="Q515" t="s">
        <v>24</v>
      </c>
      <c r="R515" t="s">
        <v>25</v>
      </c>
    </row>
    <row r="516" spans="1:18" x14ac:dyDescent="0.25">
      <c r="A516">
        <v>1515</v>
      </c>
      <c r="B516" t="s">
        <v>1053</v>
      </c>
      <c r="C516" t="s">
        <v>19</v>
      </c>
      <c r="D516" t="s">
        <v>137</v>
      </c>
      <c r="E516" t="s">
        <v>39</v>
      </c>
      <c r="F516" t="s">
        <v>86</v>
      </c>
      <c r="G516">
        <v>2.6</v>
      </c>
      <c r="H516">
        <v>43767</v>
      </c>
      <c r="I516" t="s">
        <v>1054</v>
      </c>
      <c r="J516">
        <v>89.1</v>
      </c>
      <c r="K516">
        <v>33.4</v>
      </c>
      <c r="L516">
        <v>77</v>
      </c>
      <c r="M516">
        <v>90</v>
      </c>
      <c r="N516">
        <v>80</v>
      </c>
      <c r="O516">
        <v>5</v>
      </c>
      <c r="P516">
        <v>7</v>
      </c>
      <c r="Q516" t="s">
        <v>37</v>
      </c>
      <c r="R516" t="s">
        <v>57</v>
      </c>
    </row>
    <row r="517" spans="1:18" x14ac:dyDescent="0.25">
      <c r="A517">
        <v>1516</v>
      </c>
      <c r="B517" t="s">
        <v>1055</v>
      </c>
      <c r="C517" t="s">
        <v>49</v>
      </c>
      <c r="D517" t="s">
        <v>50</v>
      </c>
      <c r="E517" t="s">
        <v>51</v>
      </c>
      <c r="F517" t="s">
        <v>22</v>
      </c>
      <c r="G517">
        <v>4</v>
      </c>
      <c r="H517">
        <v>58272</v>
      </c>
      <c r="I517" t="s">
        <v>1056</v>
      </c>
      <c r="J517">
        <v>85.7</v>
      </c>
      <c r="K517">
        <v>28.5</v>
      </c>
      <c r="L517">
        <v>86.3</v>
      </c>
      <c r="M517">
        <v>92</v>
      </c>
      <c r="N517">
        <v>76</v>
      </c>
      <c r="O517">
        <v>2</v>
      </c>
      <c r="P517">
        <v>21</v>
      </c>
      <c r="Q517" t="s">
        <v>37</v>
      </c>
      <c r="R517" t="s">
        <v>25</v>
      </c>
    </row>
    <row r="518" spans="1:18" x14ac:dyDescent="0.25">
      <c r="A518">
        <v>1517</v>
      </c>
      <c r="B518" t="s">
        <v>1057</v>
      </c>
      <c r="C518" t="s">
        <v>32</v>
      </c>
      <c r="D518" t="s">
        <v>67</v>
      </c>
      <c r="E518" t="s">
        <v>94</v>
      </c>
      <c r="F518" t="s">
        <v>22</v>
      </c>
      <c r="G518">
        <v>6.4</v>
      </c>
      <c r="H518">
        <v>78466</v>
      </c>
      <c r="I518" t="s">
        <v>1058</v>
      </c>
      <c r="J518">
        <v>88.6</v>
      </c>
      <c r="K518">
        <v>24.1</v>
      </c>
      <c r="L518">
        <v>77.5</v>
      </c>
      <c r="M518">
        <v>111</v>
      </c>
      <c r="N518">
        <v>94</v>
      </c>
      <c r="O518">
        <v>4</v>
      </c>
      <c r="P518">
        <v>20</v>
      </c>
      <c r="Q518" t="s">
        <v>37</v>
      </c>
      <c r="R518" t="s">
        <v>57</v>
      </c>
    </row>
    <row r="519" spans="1:18" x14ac:dyDescent="0.25">
      <c r="A519">
        <v>1518</v>
      </c>
      <c r="B519" t="s">
        <v>1059</v>
      </c>
      <c r="C519" t="s">
        <v>49</v>
      </c>
      <c r="D519" t="s">
        <v>178</v>
      </c>
      <c r="E519" t="s">
        <v>163</v>
      </c>
      <c r="F519" t="s">
        <v>22</v>
      </c>
      <c r="G519">
        <v>3.8</v>
      </c>
      <c r="H519">
        <v>65654</v>
      </c>
      <c r="I519" t="s">
        <v>1019</v>
      </c>
      <c r="J519">
        <v>87.2</v>
      </c>
      <c r="K519">
        <v>10.7</v>
      </c>
      <c r="L519">
        <v>85.5</v>
      </c>
      <c r="M519">
        <v>52</v>
      </c>
      <c r="N519">
        <v>48</v>
      </c>
      <c r="O519">
        <v>3</v>
      </c>
      <c r="P519">
        <v>29</v>
      </c>
      <c r="Q519" t="s">
        <v>42</v>
      </c>
      <c r="R519" t="s">
        <v>25</v>
      </c>
    </row>
    <row r="520" spans="1:18" x14ac:dyDescent="0.25">
      <c r="A520">
        <v>1519</v>
      </c>
      <c r="B520" t="s">
        <v>1060</v>
      </c>
      <c r="C520" t="s">
        <v>32</v>
      </c>
      <c r="D520" t="s">
        <v>33</v>
      </c>
      <c r="E520" t="s">
        <v>94</v>
      </c>
      <c r="F520" t="s">
        <v>22</v>
      </c>
      <c r="G520">
        <v>3.5</v>
      </c>
      <c r="H520">
        <v>44721</v>
      </c>
      <c r="I520" t="s">
        <v>1061</v>
      </c>
      <c r="J520">
        <v>95.2</v>
      </c>
      <c r="K520">
        <v>17.100000000000001</v>
      </c>
      <c r="L520">
        <v>83.6</v>
      </c>
      <c r="M520">
        <v>105</v>
      </c>
      <c r="N520">
        <v>83</v>
      </c>
      <c r="O520">
        <v>3</v>
      </c>
      <c r="P520">
        <v>12</v>
      </c>
      <c r="Q520" t="s">
        <v>24</v>
      </c>
      <c r="R520" t="s">
        <v>25</v>
      </c>
    </row>
    <row r="521" spans="1:18" x14ac:dyDescent="0.25">
      <c r="A521">
        <v>1520</v>
      </c>
      <c r="B521" t="s">
        <v>1062</v>
      </c>
      <c r="C521" t="s">
        <v>19</v>
      </c>
      <c r="D521" t="s">
        <v>20</v>
      </c>
      <c r="E521" t="s">
        <v>39</v>
      </c>
      <c r="F521" t="s">
        <v>35</v>
      </c>
      <c r="G521">
        <v>3</v>
      </c>
      <c r="H521">
        <v>59223</v>
      </c>
      <c r="I521" t="s">
        <v>1063</v>
      </c>
      <c r="J521">
        <v>86</v>
      </c>
      <c r="K521">
        <v>30.4</v>
      </c>
      <c r="L521">
        <v>75.599999999999994</v>
      </c>
      <c r="M521">
        <v>113</v>
      </c>
      <c r="N521">
        <v>74</v>
      </c>
      <c r="O521">
        <v>4</v>
      </c>
      <c r="P521">
        <v>23</v>
      </c>
      <c r="Q521" t="s">
        <v>37</v>
      </c>
      <c r="R521" t="s">
        <v>57</v>
      </c>
    </row>
    <row r="522" spans="1:18" x14ac:dyDescent="0.25">
      <c r="A522">
        <v>1521</v>
      </c>
      <c r="B522" t="s">
        <v>1064</v>
      </c>
      <c r="C522" t="s">
        <v>44</v>
      </c>
      <c r="D522" t="s">
        <v>45</v>
      </c>
      <c r="E522" t="s">
        <v>46</v>
      </c>
      <c r="F522" t="s">
        <v>103</v>
      </c>
      <c r="G522">
        <v>6</v>
      </c>
      <c r="H522">
        <v>77301</v>
      </c>
      <c r="I522" t="s">
        <v>1065</v>
      </c>
      <c r="J522">
        <v>94.9</v>
      </c>
      <c r="K522">
        <v>17.399999999999999</v>
      </c>
      <c r="L522">
        <v>84.8</v>
      </c>
      <c r="M522">
        <v>75</v>
      </c>
      <c r="N522">
        <v>66</v>
      </c>
      <c r="O522">
        <v>2</v>
      </c>
      <c r="P522">
        <v>27</v>
      </c>
      <c r="Q522" t="s">
        <v>37</v>
      </c>
      <c r="R522" t="s">
        <v>25</v>
      </c>
    </row>
    <row r="523" spans="1:18" x14ac:dyDescent="0.25">
      <c r="A523">
        <v>1522</v>
      </c>
      <c r="B523" t="s">
        <v>1066</v>
      </c>
      <c r="C523" t="s">
        <v>19</v>
      </c>
      <c r="D523" t="s">
        <v>20</v>
      </c>
      <c r="E523" t="s">
        <v>21</v>
      </c>
      <c r="F523" t="s">
        <v>22</v>
      </c>
      <c r="G523">
        <v>5.5</v>
      </c>
      <c r="H523">
        <v>67481</v>
      </c>
      <c r="I523" t="s">
        <v>337</v>
      </c>
      <c r="J523">
        <v>100</v>
      </c>
      <c r="K523">
        <v>18.3</v>
      </c>
      <c r="L523">
        <v>81.7</v>
      </c>
      <c r="M523">
        <v>110</v>
      </c>
      <c r="N523">
        <v>92</v>
      </c>
      <c r="O523">
        <v>0</v>
      </c>
      <c r="P523">
        <v>5</v>
      </c>
      <c r="Q523" t="s">
        <v>24</v>
      </c>
      <c r="R523" t="s">
        <v>25</v>
      </c>
    </row>
    <row r="524" spans="1:18" x14ac:dyDescent="0.25">
      <c r="A524">
        <v>1523</v>
      </c>
      <c r="B524" t="s">
        <v>1067</v>
      </c>
      <c r="C524" t="s">
        <v>89</v>
      </c>
      <c r="D524" t="s">
        <v>102</v>
      </c>
      <c r="E524" t="s">
        <v>111</v>
      </c>
      <c r="F524" t="s">
        <v>103</v>
      </c>
      <c r="G524">
        <v>3.6</v>
      </c>
      <c r="H524">
        <v>60945</v>
      </c>
      <c r="I524" t="s">
        <v>1068</v>
      </c>
      <c r="J524">
        <v>95.2</v>
      </c>
      <c r="K524">
        <v>11.1</v>
      </c>
      <c r="L524">
        <v>81.900000000000006</v>
      </c>
      <c r="M524">
        <v>80</v>
      </c>
      <c r="N524">
        <v>60</v>
      </c>
      <c r="O524">
        <v>1</v>
      </c>
      <c r="P524">
        <v>14</v>
      </c>
      <c r="Q524" t="s">
        <v>42</v>
      </c>
      <c r="R524" t="s">
        <v>25</v>
      </c>
    </row>
    <row r="525" spans="1:18" x14ac:dyDescent="0.25">
      <c r="A525">
        <v>1524</v>
      </c>
      <c r="B525" t="s">
        <v>1069</v>
      </c>
      <c r="C525" t="s">
        <v>49</v>
      </c>
      <c r="D525" t="s">
        <v>50</v>
      </c>
      <c r="E525" t="s">
        <v>60</v>
      </c>
      <c r="F525" t="s">
        <v>86</v>
      </c>
      <c r="G525">
        <v>8.1</v>
      </c>
      <c r="H525">
        <v>93992</v>
      </c>
      <c r="I525" t="s">
        <v>1070</v>
      </c>
      <c r="J525">
        <v>94.7</v>
      </c>
      <c r="K525">
        <v>13.5</v>
      </c>
      <c r="L525">
        <v>90.5</v>
      </c>
      <c r="M525">
        <v>100</v>
      </c>
      <c r="N525">
        <v>91</v>
      </c>
      <c r="O525">
        <v>4</v>
      </c>
      <c r="P525">
        <v>11</v>
      </c>
      <c r="Q525" t="s">
        <v>42</v>
      </c>
      <c r="R525" t="s">
        <v>62</v>
      </c>
    </row>
    <row r="526" spans="1:18" x14ac:dyDescent="0.25">
      <c r="A526">
        <v>1525</v>
      </c>
      <c r="B526" t="s">
        <v>1071</v>
      </c>
      <c r="C526" t="s">
        <v>19</v>
      </c>
      <c r="D526" t="s">
        <v>81</v>
      </c>
      <c r="E526" t="s">
        <v>82</v>
      </c>
      <c r="F526" t="s">
        <v>35</v>
      </c>
      <c r="G526">
        <v>8.6999999999999993</v>
      </c>
      <c r="H526">
        <v>95219</v>
      </c>
      <c r="I526" t="s">
        <v>1072</v>
      </c>
      <c r="J526">
        <v>92.1</v>
      </c>
      <c r="K526">
        <v>12.1</v>
      </c>
      <c r="L526">
        <v>84.8</v>
      </c>
      <c r="M526">
        <v>112</v>
      </c>
      <c r="N526">
        <v>93</v>
      </c>
      <c r="O526">
        <v>2</v>
      </c>
      <c r="P526">
        <v>22</v>
      </c>
      <c r="Q526" t="s">
        <v>24</v>
      </c>
      <c r="R526" t="s">
        <v>25</v>
      </c>
    </row>
    <row r="527" spans="1:18" x14ac:dyDescent="0.25">
      <c r="A527">
        <v>1526</v>
      </c>
      <c r="B527" t="s">
        <v>1073</v>
      </c>
      <c r="C527" t="s">
        <v>44</v>
      </c>
      <c r="D527" t="s">
        <v>70</v>
      </c>
      <c r="E527" t="s">
        <v>46</v>
      </c>
      <c r="F527" t="s">
        <v>22</v>
      </c>
      <c r="G527">
        <v>6.6</v>
      </c>
      <c r="H527">
        <v>85591</v>
      </c>
      <c r="I527" t="s">
        <v>1074</v>
      </c>
      <c r="J527">
        <v>94.1</v>
      </c>
      <c r="K527">
        <v>31.4</v>
      </c>
      <c r="L527">
        <v>69.5</v>
      </c>
      <c r="M527">
        <v>85</v>
      </c>
      <c r="N527">
        <v>58</v>
      </c>
      <c r="O527">
        <v>4</v>
      </c>
      <c r="P527">
        <v>18</v>
      </c>
      <c r="Q527" t="s">
        <v>37</v>
      </c>
      <c r="R527" t="s">
        <v>203</v>
      </c>
    </row>
    <row r="528" spans="1:18" x14ac:dyDescent="0.25">
      <c r="A528">
        <v>1527</v>
      </c>
      <c r="B528" t="s">
        <v>1075</v>
      </c>
      <c r="C528" t="s">
        <v>49</v>
      </c>
      <c r="D528" t="s">
        <v>50</v>
      </c>
      <c r="E528" t="s">
        <v>51</v>
      </c>
      <c r="F528" t="s">
        <v>103</v>
      </c>
      <c r="G528">
        <v>1.4</v>
      </c>
      <c r="H528">
        <v>42619</v>
      </c>
      <c r="I528" t="s">
        <v>1076</v>
      </c>
      <c r="J528">
        <v>91.2</v>
      </c>
      <c r="K528">
        <v>8.6999999999999993</v>
      </c>
      <c r="L528">
        <v>88.2</v>
      </c>
      <c r="M528">
        <v>56</v>
      </c>
      <c r="N528">
        <v>49</v>
      </c>
      <c r="O528">
        <v>2</v>
      </c>
      <c r="P528">
        <v>15</v>
      </c>
      <c r="Q528" t="s">
        <v>24</v>
      </c>
      <c r="R528" t="s">
        <v>25</v>
      </c>
    </row>
    <row r="529" spans="1:18" x14ac:dyDescent="0.25">
      <c r="A529">
        <v>1528</v>
      </c>
      <c r="B529" t="s">
        <v>1077</v>
      </c>
      <c r="C529" t="s">
        <v>27</v>
      </c>
      <c r="D529" t="s">
        <v>28</v>
      </c>
      <c r="E529" t="s">
        <v>29</v>
      </c>
      <c r="F529" t="s">
        <v>22</v>
      </c>
      <c r="G529">
        <v>2.8</v>
      </c>
      <c r="H529">
        <v>56628</v>
      </c>
      <c r="I529" t="s">
        <v>1078</v>
      </c>
      <c r="J529">
        <v>88.2</v>
      </c>
      <c r="K529">
        <v>4</v>
      </c>
      <c r="L529">
        <v>85.5</v>
      </c>
      <c r="M529">
        <v>82</v>
      </c>
      <c r="N529">
        <v>77</v>
      </c>
      <c r="O529">
        <v>1</v>
      </c>
      <c r="P529">
        <v>6</v>
      </c>
      <c r="Q529" t="s">
        <v>42</v>
      </c>
      <c r="R529" t="s">
        <v>25</v>
      </c>
    </row>
    <row r="530" spans="1:18" x14ac:dyDescent="0.25">
      <c r="A530">
        <v>1529</v>
      </c>
      <c r="B530" t="s">
        <v>1079</v>
      </c>
      <c r="C530" t="s">
        <v>89</v>
      </c>
      <c r="D530" t="s">
        <v>121</v>
      </c>
      <c r="E530" t="s">
        <v>152</v>
      </c>
      <c r="F530" t="s">
        <v>22</v>
      </c>
      <c r="G530">
        <v>7.5</v>
      </c>
      <c r="H530">
        <v>75331</v>
      </c>
      <c r="I530" t="s">
        <v>189</v>
      </c>
      <c r="J530">
        <v>90.1</v>
      </c>
      <c r="K530">
        <v>15.2</v>
      </c>
      <c r="L530">
        <v>87.7</v>
      </c>
      <c r="M530">
        <v>57</v>
      </c>
      <c r="N530">
        <v>50</v>
      </c>
      <c r="O530">
        <v>3</v>
      </c>
      <c r="P530">
        <v>27</v>
      </c>
      <c r="Q530" t="s">
        <v>24</v>
      </c>
      <c r="R530" t="s">
        <v>25</v>
      </c>
    </row>
    <row r="531" spans="1:18" x14ac:dyDescent="0.25">
      <c r="A531">
        <v>1530</v>
      </c>
      <c r="B531" t="s">
        <v>1080</v>
      </c>
      <c r="C531" t="s">
        <v>44</v>
      </c>
      <c r="D531" t="s">
        <v>54</v>
      </c>
      <c r="E531" t="s">
        <v>46</v>
      </c>
      <c r="F531" t="s">
        <v>76</v>
      </c>
      <c r="G531">
        <v>2.4</v>
      </c>
      <c r="H531">
        <v>46808</v>
      </c>
      <c r="I531" t="s">
        <v>1081</v>
      </c>
      <c r="J531">
        <v>88.3</v>
      </c>
      <c r="K531">
        <v>18.2</v>
      </c>
      <c r="L531">
        <v>74.900000000000006</v>
      </c>
      <c r="M531">
        <v>117</v>
      </c>
      <c r="N531">
        <v>88</v>
      </c>
      <c r="O531">
        <v>2</v>
      </c>
      <c r="P531">
        <v>18</v>
      </c>
      <c r="Q531" t="s">
        <v>24</v>
      </c>
      <c r="R531" t="s">
        <v>57</v>
      </c>
    </row>
    <row r="532" spans="1:18" x14ac:dyDescent="0.25">
      <c r="A532">
        <v>1531</v>
      </c>
      <c r="B532" t="s">
        <v>1082</v>
      </c>
      <c r="C532" t="s">
        <v>49</v>
      </c>
      <c r="D532" t="s">
        <v>50</v>
      </c>
      <c r="E532" t="s">
        <v>163</v>
      </c>
      <c r="F532" t="s">
        <v>35</v>
      </c>
      <c r="G532">
        <v>4.0999999999999996</v>
      </c>
      <c r="H532">
        <v>52289</v>
      </c>
      <c r="I532" t="s">
        <v>1083</v>
      </c>
      <c r="J532">
        <v>93.2</v>
      </c>
      <c r="K532">
        <v>23.4</v>
      </c>
      <c r="L532">
        <v>86.1</v>
      </c>
      <c r="M532">
        <v>62</v>
      </c>
      <c r="N532">
        <v>55</v>
      </c>
      <c r="O532">
        <v>2</v>
      </c>
      <c r="P532">
        <v>8</v>
      </c>
      <c r="Q532" t="s">
        <v>24</v>
      </c>
      <c r="R532" t="s">
        <v>25</v>
      </c>
    </row>
    <row r="533" spans="1:18" x14ac:dyDescent="0.25">
      <c r="A533">
        <v>1532</v>
      </c>
      <c r="B533" t="s">
        <v>1084</v>
      </c>
      <c r="C533" t="s">
        <v>89</v>
      </c>
      <c r="D533" t="s">
        <v>90</v>
      </c>
      <c r="E533" t="s">
        <v>91</v>
      </c>
      <c r="F533" t="s">
        <v>103</v>
      </c>
      <c r="G533">
        <v>7.2</v>
      </c>
      <c r="H533">
        <v>82240</v>
      </c>
      <c r="I533" t="s">
        <v>525</v>
      </c>
      <c r="J533">
        <v>88.3</v>
      </c>
      <c r="K533">
        <v>24.6</v>
      </c>
      <c r="L533">
        <v>90.1</v>
      </c>
      <c r="M533">
        <v>78</v>
      </c>
      <c r="N533">
        <v>72</v>
      </c>
      <c r="O533">
        <v>0</v>
      </c>
      <c r="P533">
        <v>15</v>
      </c>
      <c r="Q533" t="s">
        <v>24</v>
      </c>
      <c r="R533" t="s">
        <v>62</v>
      </c>
    </row>
    <row r="534" spans="1:18" x14ac:dyDescent="0.25">
      <c r="A534">
        <v>1533</v>
      </c>
      <c r="B534" t="s">
        <v>1085</v>
      </c>
      <c r="C534" t="s">
        <v>19</v>
      </c>
      <c r="D534" t="s">
        <v>20</v>
      </c>
      <c r="E534" t="s">
        <v>21</v>
      </c>
      <c r="F534" t="s">
        <v>40</v>
      </c>
      <c r="G534">
        <v>4</v>
      </c>
      <c r="H534">
        <v>56994</v>
      </c>
      <c r="I534" t="s">
        <v>1086</v>
      </c>
      <c r="J534">
        <v>91.3</v>
      </c>
      <c r="K534">
        <v>48.9</v>
      </c>
      <c r="L534">
        <v>81.7</v>
      </c>
      <c r="M534">
        <v>120</v>
      </c>
      <c r="N534">
        <v>96</v>
      </c>
      <c r="O534">
        <v>3</v>
      </c>
      <c r="P534">
        <v>13</v>
      </c>
      <c r="Q534" t="s">
        <v>37</v>
      </c>
      <c r="R534" t="s">
        <v>25</v>
      </c>
    </row>
    <row r="535" spans="1:18" x14ac:dyDescent="0.25">
      <c r="A535">
        <v>1534</v>
      </c>
      <c r="B535" t="s">
        <v>1087</v>
      </c>
      <c r="C535" t="s">
        <v>89</v>
      </c>
      <c r="D535" t="s">
        <v>90</v>
      </c>
      <c r="E535" t="s">
        <v>91</v>
      </c>
      <c r="F535" t="s">
        <v>40</v>
      </c>
      <c r="G535">
        <v>6.2</v>
      </c>
      <c r="H535">
        <v>81433</v>
      </c>
      <c r="I535" t="s">
        <v>1088</v>
      </c>
      <c r="J535">
        <v>89.4</v>
      </c>
      <c r="K535">
        <v>10.6</v>
      </c>
      <c r="L535">
        <v>90.9</v>
      </c>
      <c r="M535">
        <v>90</v>
      </c>
      <c r="N535">
        <v>81</v>
      </c>
      <c r="O535">
        <v>4</v>
      </c>
      <c r="P535">
        <v>17</v>
      </c>
      <c r="Q535" t="s">
        <v>42</v>
      </c>
      <c r="R535" t="s">
        <v>62</v>
      </c>
    </row>
    <row r="536" spans="1:18" x14ac:dyDescent="0.25">
      <c r="A536">
        <v>1535</v>
      </c>
      <c r="B536" t="s">
        <v>1089</v>
      </c>
      <c r="C536" t="s">
        <v>49</v>
      </c>
      <c r="D536" t="s">
        <v>50</v>
      </c>
      <c r="E536" t="s">
        <v>60</v>
      </c>
      <c r="F536" t="s">
        <v>22</v>
      </c>
      <c r="G536">
        <v>2.5</v>
      </c>
      <c r="H536">
        <v>62170</v>
      </c>
      <c r="I536" t="s">
        <v>1090</v>
      </c>
      <c r="J536">
        <v>86.7</v>
      </c>
      <c r="K536">
        <v>5.0999999999999996</v>
      </c>
      <c r="L536">
        <v>83.3</v>
      </c>
      <c r="M536">
        <v>46</v>
      </c>
      <c r="N536">
        <v>41</v>
      </c>
      <c r="O536">
        <v>6</v>
      </c>
      <c r="P536">
        <v>20</v>
      </c>
      <c r="Q536" t="s">
        <v>42</v>
      </c>
      <c r="R536" t="s">
        <v>25</v>
      </c>
    </row>
    <row r="537" spans="1:18" x14ac:dyDescent="0.25">
      <c r="A537">
        <v>1536</v>
      </c>
      <c r="B537" t="s">
        <v>1091</v>
      </c>
      <c r="C537" t="s">
        <v>32</v>
      </c>
      <c r="D537" t="s">
        <v>106</v>
      </c>
      <c r="E537" t="s">
        <v>34</v>
      </c>
      <c r="F537" t="s">
        <v>103</v>
      </c>
      <c r="G537">
        <v>3.7</v>
      </c>
      <c r="H537">
        <v>55861</v>
      </c>
      <c r="I537" t="s">
        <v>1092</v>
      </c>
      <c r="J537">
        <v>98.4</v>
      </c>
      <c r="K537">
        <v>36.9</v>
      </c>
      <c r="L537">
        <v>87.5</v>
      </c>
      <c r="M537">
        <v>118</v>
      </c>
      <c r="N537">
        <v>107</v>
      </c>
      <c r="O537">
        <v>3</v>
      </c>
      <c r="P537">
        <v>16</v>
      </c>
      <c r="Q537" t="s">
        <v>37</v>
      </c>
      <c r="R537" t="s">
        <v>25</v>
      </c>
    </row>
    <row r="538" spans="1:18" x14ac:dyDescent="0.25">
      <c r="A538">
        <v>1537</v>
      </c>
      <c r="B538" t="s">
        <v>1093</v>
      </c>
      <c r="C538" t="s">
        <v>27</v>
      </c>
      <c r="D538" t="s">
        <v>64</v>
      </c>
      <c r="E538" t="s">
        <v>118</v>
      </c>
      <c r="F538" t="s">
        <v>86</v>
      </c>
      <c r="G538">
        <v>4</v>
      </c>
      <c r="H538">
        <v>59918</v>
      </c>
      <c r="I538" t="s">
        <v>1094</v>
      </c>
      <c r="J538">
        <v>95.7</v>
      </c>
      <c r="K538">
        <v>15.1</v>
      </c>
      <c r="L538">
        <v>90.9</v>
      </c>
      <c r="M538">
        <v>93</v>
      </c>
      <c r="N538">
        <v>85</v>
      </c>
      <c r="O538">
        <v>1</v>
      </c>
      <c r="P538">
        <v>11</v>
      </c>
      <c r="Q538" t="s">
        <v>42</v>
      </c>
      <c r="R538" t="s">
        <v>62</v>
      </c>
    </row>
    <row r="539" spans="1:18" x14ac:dyDescent="0.25">
      <c r="A539">
        <v>1538</v>
      </c>
      <c r="B539" t="s">
        <v>1095</v>
      </c>
      <c r="C539" t="s">
        <v>89</v>
      </c>
      <c r="D539" t="s">
        <v>90</v>
      </c>
      <c r="E539" t="s">
        <v>111</v>
      </c>
      <c r="F539" t="s">
        <v>40</v>
      </c>
      <c r="G539">
        <v>2.2999999999999998</v>
      </c>
      <c r="H539">
        <v>59681</v>
      </c>
      <c r="I539" t="s">
        <v>1096</v>
      </c>
      <c r="J539">
        <v>93.1</v>
      </c>
      <c r="K539">
        <v>18.8</v>
      </c>
      <c r="L539">
        <v>98.1</v>
      </c>
      <c r="M539">
        <v>71</v>
      </c>
      <c r="N539">
        <v>70</v>
      </c>
      <c r="O539">
        <v>0</v>
      </c>
      <c r="P539">
        <v>21</v>
      </c>
      <c r="Q539" t="s">
        <v>42</v>
      </c>
      <c r="R539" t="s">
        <v>62</v>
      </c>
    </row>
    <row r="540" spans="1:18" x14ac:dyDescent="0.25">
      <c r="A540">
        <v>1539</v>
      </c>
      <c r="B540" t="s">
        <v>1097</v>
      </c>
      <c r="C540" t="s">
        <v>27</v>
      </c>
      <c r="D540" t="s">
        <v>75</v>
      </c>
      <c r="E540" t="s">
        <v>85</v>
      </c>
      <c r="F540" t="s">
        <v>86</v>
      </c>
      <c r="G540">
        <v>3.8</v>
      </c>
      <c r="H540">
        <v>68237</v>
      </c>
      <c r="I540" t="s">
        <v>267</v>
      </c>
      <c r="J540">
        <v>93.9</v>
      </c>
      <c r="K540">
        <v>3.8</v>
      </c>
      <c r="L540">
        <v>90.6</v>
      </c>
      <c r="M540">
        <v>72</v>
      </c>
      <c r="N540">
        <v>69</v>
      </c>
      <c r="O540">
        <v>3</v>
      </c>
      <c r="P540">
        <v>12</v>
      </c>
      <c r="Q540" t="s">
        <v>42</v>
      </c>
      <c r="R540" t="s">
        <v>62</v>
      </c>
    </row>
    <row r="541" spans="1:18" x14ac:dyDescent="0.25">
      <c r="A541">
        <v>1540</v>
      </c>
      <c r="B541" t="s">
        <v>1098</v>
      </c>
      <c r="C541" t="s">
        <v>49</v>
      </c>
      <c r="D541" t="s">
        <v>178</v>
      </c>
      <c r="E541" t="s">
        <v>163</v>
      </c>
      <c r="F541" t="s">
        <v>86</v>
      </c>
      <c r="G541">
        <v>1.4</v>
      </c>
      <c r="H541">
        <v>51083</v>
      </c>
      <c r="I541" t="s">
        <v>1099</v>
      </c>
      <c r="J541">
        <v>92</v>
      </c>
      <c r="K541">
        <v>6.6</v>
      </c>
      <c r="L541">
        <v>84.5</v>
      </c>
      <c r="M541">
        <v>49</v>
      </c>
      <c r="N541">
        <v>43</v>
      </c>
      <c r="O541">
        <v>1</v>
      </c>
      <c r="P541">
        <v>13</v>
      </c>
      <c r="Q541" t="s">
        <v>42</v>
      </c>
      <c r="R541" t="s">
        <v>25</v>
      </c>
    </row>
    <row r="542" spans="1:18" x14ac:dyDescent="0.25">
      <c r="A542">
        <v>1541</v>
      </c>
      <c r="B542" t="s">
        <v>1100</v>
      </c>
      <c r="C542" t="s">
        <v>19</v>
      </c>
      <c r="D542" t="s">
        <v>137</v>
      </c>
      <c r="E542" t="s">
        <v>82</v>
      </c>
      <c r="F542" t="s">
        <v>76</v>
      </c>
      <c r="G542">
        <v>2.9</v>
      </c>
      <c r="H542">
        <v>62275</v>
      </c>
      <c r="I542" t="s">
        <v>1101</v>
      </c>
      <c r="J542">
        <v>91.9</v>
      </c>
      <c r="K542">
        <v>24.3</v>
      </c>
      <c r="L542">
        <v>79.8</v>
      </c>
      <c r="M542">
        <v>97</v>
      </c>
      <c r="N542">
        <v>81</v>
      </c>
      <c r="O542">
        <v>5</v>
      </c>
      <c r="P542">
        <v>11</v>
      </c>
      <c r="Q542" t="s">
        <v>24</v>
      </c>
      <c r="R542" t="s">
        <v>57</v>
      </c>
    </row>
    <row r="543" spans="1:18" x14ac:dyDescent="0.25">
      <c r="A543">
        <v>1542</v>
      </c>
      <c r="B543" t="s">
        <v>1102</v>
      </c>
      <c r="C543" t="s">
        <v>44</v>
      </c>
      <c r="D543" t="s">
        <v>45</v>
      </c>
      <c r="E543" t="s">
        <v>97</v>
      </c>
      <c r="F543" t="s">
        <v>103</v>
      </c>
      <c r="G543">
        <v>0.8</v>
      </c>
      <c r="H543">
        <v>58081</v>
      </c>
      <c r="I543" t="s">
        <v>1103</v>
      </c>
      <c r="J543">
        <v>90.8</v>
      </c>
      <c r="K543">
        <v>30.2</v>
      </c>
      <c r="L543">
        <v>80.7</v>
      </c>
      <c r="M543">
        <v>117</v>
      </c>
      <c r="N543">
        <v>91</v>
      </c>
      <c r="O543">
        <v>4</v>
      </c>
      <c r="P543">
        <v>13</v>
      </c>
      <c r="Q543" t="s">
        <v>37</v>
      </c>
      <c r="R543" t="s">
        <v>25</v>
      </c>
    </row>
    <row r="544" spans="1:18" x14ac:dyDescent="0.25">
      <c r="A544">
        <v>1543</v>
      </c>
      <c r="B544" t="s">
        <v>1104</v>
      </c>
      <c r="C544" t="s">
        <v>49</v>
      </c>
      <c r="D544" t="s">
        <v>50</v>
      </c>
      <c r="E544" t="s">
        <v>60</v>
      </c>
      <c r="F544" t="s">
        <v>35</v>
      </c>
      <c r="G544">
        <v>4.2</v>
      </c>
      <c r="H544">
        <v>55784</v>
      </c>
      <c r="I544" t="s">
        <v>1105</v>
      </c>
      <c r="J544">
        <v>89.1</v>
      </c>
      <c r="K544">
        <v>0</v>
      </c>
      <c r="L544">
        <v>81.7</v>
      </c>
      <c r="M544">
        <v>71</v>
      </c>
      <c r="N544">
        <v>62</v>
      </c>
      <c r="O544">
        <v>5</v>
      </c>
      <c r="P544">
        <v>22</v>
      </c>
      <c r="Q544" t="s">
        <v>24</v>
      </c>
      <c r="R544" t="s">
        <v>25</v>
      </c>
    </row>
    <row r="545" spans="1:18" x14ac:dyDescent="0.25">
      <c r="A545">
        <v>1544</v>
      </c>
      <c r="B545" t="s">
        <v>1106</v>
      </c>
      <c r="C545" t="s">
        <v>32</v>
      </c>
      <c r="D545" t="s">
        <v>67</v>
      </c>
      <c r="E545" t="s">
        <v>94</v>
      </c>
      <c r="F545" t="s">
        <v>76</v>
      </c>
      <c r="G545">
        <v>5.3</v>
      </c>
      <c r="H545">
        <v>71199</v>
      </c>
      <c r="I545" t="s">
        <v>1107</v>
      </c>
      <c r="J545">
        <v>92.3</v>
      </c>
      <c r="K545">
        <v>25</v>
      </c>
      <c r="L545">
        <v>85.5</v>
      </c>
      <c r="M545">
        <v>95</v>
      </c>
      <c r="N545">
        <v>78</v>
      </c>
      <c r="O545">
        <v>0</v>
      </c>
      <c r="P545">
        <v>7</v>
      </c>
      <c r="Q545" t="s">
        <v>24</v>
      </c>
      <c r="R545" t="s">
        <v>25</v>
      </c>
    </row>
    <row r="546" spans="1:18" x14ac:dyDescent="0.25">
      <c r="A546">
        <v>1545</v>
      </c>
      <c r="B546" t="s">
        <v>1108</v>
      </c>
      <c r="C546" t="s">
        <v>89</v>
      </c>
      <c r="D546" t="s">
        <v>121</v>
      </c>
      <c r="E546" t="s">
        <v>111</v>
      </c>
      <c r="F546" t="s">
        <v>40</v>
      </c>
      <c r="G546">
        <v>3.9</v>
      </c>
      <c r="H546">
        <v>59184</v>
      </c>
      <c r="I546" t="s">
        <v>1109</v>
      </c>
      <c r="J546">
        <v>92.8</v>
      </c>
      <c r="K546">
        <v>11.1</v>
      </c>
      <c r="L546">
        <v>90.2</v>
      </c>
      <c r="M546">
        <v>115</v>
      </c>
      <c r="N546">
        <v>105</v>
      </c>
      <c r="O546">
        <v>0</v>
      </c>
      <c r="P546">
        <v>16</v>
      </c>
      <c r="Q546" t="s">
        <v>42</v>
      </c>
      <c r="R546" t="s">
        <v>62</v>
      </c>
    </row>
    <row r="547" spans="1:18" x14ac:dyDescent="0.25">
      <c r="A547">
        <v>1546</v>
      </c>
      <c r="B547" t="s">
        <v>1110</v>
      </c>
      <c r="C547" t="s">
        <v>44</v>
      </c>
      <c r="D547" t="s">
        <v>70</v>
      </c>
      <c r="E547" t="s">
        <v>46</v>
      </c>
      <c r="F547" t="s">
        <v>86</v>
      </c>
      <c r="G547">
        <v>3.8</v>
      </c>
      <c r="H547">
        <v>59846</v>
      </c>
      <c r="I547" t="s">
        <v>1111</v>
      </c>
      <c r="J547">
        <v>94.5</v>
      </c>
      <c r="K547">
        <v>21.3</v>
      </c>
      <c r="L547">
        <v>84.7</v>
      </c>
      <c r="M547">
        <v>100</v>
      </c>
      <c r="N547">
        <v>92</v>
      </c>
      <c r="O547">
        <v>4</v>
      </c>
      <c r="P547">
        <v>27</v>
      </c>
      <c r="Q547" t="s">
        <v>37</v>
      </c>
      <c r="R547" t="s">
        <v>25</v>
      </c>
    </row>
    <row r="548" spans="1:18" x14ac:dyDescent="0.25">
      <c r="A548">
        <v>1547</v>
      </c>
      <c r="B548" t="s">
        <v>1112</v>
      </c>
      <c r="C548" t="s">
        <v>89</v>
      </c>
      <c r="D548" t="s">
        <v>90</v>
      </c>
      <c r="E548" t="s">
        <v>91</v>
      </c>
      <c r="F548" t="s">
        <v>22</v>
      </c>
      <c r="G548">
        <v>2.6</v>
      </c>
      <c r="H548">
        <v>53197</v>
      </c>
      <c r="I548" t="s">
        <v>1113</v>
      </c>
      <c r="J548">
        <v>91.5</v>
      </c>
      <c r="K548">
        <v>28.7</v>
      </c>
      <c r="L548">
        <v>88.7</v>
      </c>
      <c r="M548">
        <v>104</v>
      </c>
      <c r="N548">
        <v>96</v>
      </c>
      <c r="O548">
        <v>1</v>
      </c>
      <c r="P548">
        <v>13</v>
      </c>
      <c r="Q548" t="s">
        <v>24</v>
      </c>
      <c r="R548" t="s">
        <v>25</v>
      </c>
    </row>
    <row r="549" spans="1:18" x14ac:dyDescent="0.25">
      <c r="A549">
        <v>1548</v>
      </c>
      <c r="B549" t="s">
        <v>1114</v>
      </c>
      <c r="C549" t="s">
        <v>19</v>
      </c>
      <c r="D549" t="s">
        <v>137</v>
      </c>
      <c r="E549" t="s">
        <v>21</v>
      </c>
      <c r="F549" t="s">
        <v>35</v>
      </c>
      <c r="G549">
        <v>1.5</v>
      </c>
      <c r="H549">
        <v>42290</v>
      </c>
      <c r="I549" t="s">
        <v>1115</v>
      </c>
      <c r="J549">
        <v>93.4</v>
      </c>
      <c r="K549">
        <v>9.4</v>
      </c>
      <c r="L549">
        <v>80.5</v>
      </c>
      <c r="M549">
        <v>87</v>
      </c>
      <c r="N549">
        <v>60</v>
      </c>
      <c r="O549">
        <v>3</v>
      </c>
      <c r="P549">
        <v>23</v>
      </c>
      <c r="Q549" t="s">
        <v>42</v>
      </c>
      <c r="R549" t="s">
        <v>25</v>
      </c>
    </row>
    <row r="550" spans="1:18" x14ac:dyDescent="0.25">
      <c r="A550">
        <v>1549</v>
      </c>
      <c r="B550" t="s">
        <v>1116</v>
      </c>
      <c r="C550" t="s">
        <v>19</v>
      </c>
      <c r="D550" t="s">
        <v>137</v>
      </c>
      <c r="E550" t="s">
        <v>21</v>
      </c>
      <c r="F550" t="s">
        <v>86</v>
      </c>
      <c r="G550">
        <v>8.8000000000000007</v>
      </c>
      <c r="H550">
        <v>92876</v>
      </c>
      <c r="I550" t="s">
        <v>1117</v>
      </c>
      <c r="J550">
        <v>95.1</v>
      </c>
      <c r="K550">
        <v>24</v>
      </c>
      <c r="L550">
        <v>93.6</v>
      </c>
      <c r="M550">
        <v>100</v>
      </c>
      <c r="N550">
        <v>92</v>
      </c>
      <c r="O550">
        <v>1</v>
      </c>
      <c r="P550">
        <v>22</v>
      </c>
      <c r="Q550" t="s">
        <v>24</v>
      </c>
      <c r="R550" t="s">
        <v>62</v>
      </c>
    </row>
    <row r="551" spans="1:18" x14ac:dyDescent="0.25">
      <c r="A551">
        <v>1550</v>
      </c>
      <c r="B551" t="s">
        <v>1118</v>
      </c>
      <c r="C551" t="s">
        <v>32</v>
      </c>
      <c r="D551" t="s">
        <v>33</v>
      </c>
      <c r="E551" t="s">
        <v>128</v>
      </c>
      <c r="F551" t="s">
        <v>22</v>
      </c>
      <c r="G551">
        <v>5.5</v>
      </c>
      <c r="H551">
        <v>69359</v>
      </c>
      <c r="I551" t="s">
        <v>1119</v>
      </c>
      <c r="J551">
        <v>91.8</v>
      </c>
      <c r="K551">
        <v>23.4</v>
      </c>
      <c r="L551">
        <v>85.8</v>
      </c>
      <c r="M551">
        <v>109</v>
      </c>
      <c r="N551">
        <v>80</v>
      </c>
      <c r="O551">
        <v>4</v>
      </c>
      <c r="P551">
        <v>25</v>
      </c>
      <c r="Q551" t="s">
        <v>42</v>
      </c>
      <c r="R551" t="s">
        <v>25</v>
      </c>
    </row>
    <row r="552" spans="1:18" x14ac:dyDescent="0.25">
      <c r="A552">
        <v>1551</v>
      </c>
      <c r="B552" t="s">
        <v>1120</v>
      </c>
      <c r="C552" t="s">
        <v>27</v>
      </c>
      <c r="D552" t="s">
        <v>75</v>
      </c>
      <c r="E552" t="s">
        <v>85</v>
      </c>
      <c r="F552" t="s">
        <v>103</v>
      </c>
      <c r="G552">
        <v>6.2</v>
      </c>
      <c r="H552">
        <v>71451</v>
      </c>
      <c r="I552" t="s">
        <v>484</v>
      </c>
      <c r="J552">
        <v>92.3</v>
      </c>
      <c r="K552">
        <v>13.9</v>
      </c>
      <c r="L552">
        <v>92.6</v>
      </c>
      <c r="M552">
        <v>78</v>
      </c>
      <c r="N552">
        <v>65</v>
      </c>
      <c r="O552">
        <v>4</v>
      </c>
      <c r="P552">
        <v>22</v>
      </c>
      <c r="Q552" t="s">
        <v>42</v>
      </c>
      <c r="R552" t="s">
        <v>62</v>
      </c>
    </row>
    <row r="553" spans="1:18" x14ac:dyDescent="0.25">
      <c r="A553">
        <v>1552</v>
      </c>
      <c r="B553" t="s">
        <v>1121</v>
      </c>
      <c r="C553" t="s">
        <v>19</v>
      </c>
      <c r="D553" t="s">
        <v>137</v>
      </c>
      <c r="E553" t="s">
        <v>82</v>
      </c>
      <c r="F553" t="s">
        <v>103</v>
      </c>
      <c r="G553">
        <v>2.2000000000000002</v>
      </c>
      <c r="H553">
        <v>42873</v>
      </c>
      <c r="I553" t="s">
        <v>853</v>
      </c>
      <c r="J553">
        <v>88.7</v>
      </c>
      <c r="K553">
        <v>16.2</v>
      </c>
      <c r="L553">
        <v>75.5</v>
      </c>
      <c r="M553">
        <v>63</v>
      </c>
      <c r="N553">
        <v>46</v>
      </c>
      <c r="O553">
        <v>4</v>
      </c>
      <c r="P553">
        <v>18</v>
      </c>
      <c r="Q553" t="s">
        <v>37</v>
      </c>
      <c r="R553" t="s">
        <v>57</v>
      </c>
    </row>
    <row r="554" spans="1:18" x14ac:dyDescent="0.25">
      <c r="A554">
        <v>1553</v>
      </c>
      <c r="B554" t="s">
        <v>1122</v>
      </c>
      <c r="C554" t="s">
        <v>27</v>
      </c>
      <c r="D554" t="s">
        <v>64</v>
      </c>
      <c r="E554" t="s">
        <v>29</v>
      </c>
      <c r="F554" t="s">
        <v>35</v>
      </c>
      <c r="G554">
        <v>3.7</v>
      </c>
      <c r="H554">
        <v>40108</v>
      </c>
      <c r="I554" t="s">
        <v>1123</v>
      </c>
      <c r="J554">
        <v>98.3</v>
      </c>
      <c r="K554">
        <v>16.2</v>
      </c>
      <c r="L554">
        <v>77.599999999999994</v>
      </c>
      <c r="M554">
        <v>89</v>
      </c>
      <c r="N554">
        <v>67</v>
      </c>
      <c r="O554">
        <v>2</v>
      </c>
      <c r="P554">
        <v>14</v>
      </c>
      <c r="Q554" t="s">
        <v>42</v>
      </c>
      <c r="R554" t="s">
        <v>57</v>
      </c>
    </row>
    <row r="555" spans="1:18" x14ac:dyDescent="0.25">
      <c r="A555">
        <v>1554</v>
      </c>
      <c r="B555" t="s">
        <v>1124</v>
      </c>
      <c r="C555" t="s">
        <v>19</v>
      </c>
      <c r="D555" t="s">
        <v>137</v>
      </c>
      <c r="E555" t="s">
        <v>21</v>
      </c>
      <c r="F555" t="s">
        <v>103</v>
      </c>
      <c r="G555">
        <v>3.4</v>
      </c>
      <c r="H555">
        <v>62533</v>
      </c>
      <c r="I555" t="s">
        <v>1125</v>
      </c>
      <c r="J555">
        <v>90</v>
      </c>
      <c r="K555">
        <v>21.7</v>
      </c>
      <c r="L555">
        <v>88.7</v>
      </c>
      <c r="M555">
        <v>96</v>
      </c>
      <c r="N555">
        <v>89</v>
      </c>
      <c r="O555">
        <v>1</v>
      </c>
      <c r="P555">
        <v>13</v>
      </c>
      <c r="Q555" t="s">
        <v>42</v>
      </c>
      <c r="R555" t="s">
        <v>25</v>
      </c>
    </row>
    <row r="556" spans="1:18" x14ac:dyDescent="0.25">
      <c r="A556">
        <v>1555</v>
      </c>
      <c r="B556" t="s">
        <v>1126</v>
      </c>
      <c r="C556" t="s">
        <v>27</v>
      </c>
      <c r="D556" t="s">
        <v>75</v>
      </c>
      <c r="E556" t="s">
        <v>29</v>
      </c>
      <c r="F556" t="s">
        <v>40</v>
      </c>
      <c r="G556">
        <v>8.8000000000000007</v>
      </c>
      <c r="H556">
        <v>97207</v>
      </c>
      <c r="I556" t="s">
        <v>1127</v>
      </c>
      <c r="J556">
        <v>91.2</v>
      </c>
      <c r="K556">
        <v>15.7</v>
      </c>
      <c r="L556">
        <v>87.9</v>
      </c>
      <c r="M556">
        <v>77</v>
      </c>
      <c r="N556">
        <v>58</v>
      </c>
      <c r="O556">
        <v>2</v>
      </c>
      <c r="P556">
        <v>10</v>
      </c>
      <c r="Q556" t="s">
        <v>42</v>
      </c>
      <c r="R556" t="s">
        <v>25</v>
      </c>
    </row>
    <row r="557" spans="1:18" x14ac:dyDescent="0.25">
      <c r="A557">
        <v>1556</v>
      </c>
      <c r="B557" t="s">
        <v>1128</v>
      </c>
      <c r="C557" t="s">
        <v>44</v>
      </c>
      <c r="D557" t="s">
        <v>54</v>
      </c>
      <c r="E557" t="s">
        <v>55</v>
      </c>
      <c r="F557" t="s">
        <v>76</v>
      </c>
      <c r="G557">
        <v>3.2</v>
      </c>
      <c r="H557">
        <v>55641</v>
      </c>
      <c r="I557" t="s">
        <v>1129</v>
      </c>
      <c r="J557">
        <v>95.4</v>
      </c>
      <c r="K557">
        <v>25</v>
      </c>
      <c r="L557">
        <v>82.8</v>
      </c>
      <c r="M557">
        <v>113</v>
      </c>
      <c r="N557">
        <v>85</v>
      </c>
      <c r="O557">
        <v>3</v>
      </c>
      <c r="P557">
        <v>26</v>
      </c>
      <c r="Q557" t="s">
        <v>24</v>
      </c>
      <c r="R557" t="s">
        <v>25</v>
      </c>
    </row>
    <row r="558" spans="1:18" x14ac:dyDescent="0.25">
      <c r="A558">
        <v>1557</v>
      </c>
      <c r="B558" t="s">
        <v>1130</v>
      </c>
      <c r="C558" t="s">
        <v>32</v>
      </c>
      <c r="D558" t="s">
        <v>106</v>
      </c>
      <c r="E558" t="s">
        <v>128</v>
      </c>
      <c r="F558" t="s">
        <v>35</v>
      </c>
      <c r="G558">
        <v>7.8</v>
      </c>
      <c r="H558">
        <v>82149</v>
      </c>
      <c r="I558" t="s">
        <v>1131</v>
      </c>
      <c r="J558">
        <v>91.5</v>
      </c>
      <c r="K558">
        <v>30.3</v>
      </c>
      <c r="L558">
        <v>83.6</v>
      </c>
      <c r="M558">
        <v>90</v>
      </c>
      <c r="N558">
        <v>78</v>
      </c>
      <c r="O558">
        <v>2</v>
      </c>
      <c r="P558">
        <v>17</v>
      </c>
      <c r="Q558" t="s">
        <v>37</v>
      </c>
      <c r="R558" t="s">
        <v>25</v>
      </c>
    </row>
    <row r="559" spans="1:18" x14ac:dyDescent="0.25">
      <c r="A559">
        <v>1558</v>
      </c>
      <c r="B559" t="s">
        <v>1132</v>
      </c>
      <c r="C559" t="s">
        <v>27</v>
      </c>
      <c r="D559" t="s">
        <v>75</v>
      </c>
      <c r="E559" t="s">
        <v>29</v>
      </c>
      <c r="F559" t="s">
        <v>40</v>
      </c>
      <c r="G559">
        <v>5.6</v>
      </c>
      <c r="H559">
        <v>75265</v>
      </c>
      <c r="I559" t="s">
        <v>1133</v>
      </c>
      <c r="J559">
        <v>89.8</v>
      </c>
      <c r="K559">
        <v>12.8</v>
      </c>
      <c r="L559">
        <v>94</v>
      </c>
      <c r="M559">
        <v>76</v>
      </c>
      <c r="N559">
        <v>62</v>
      </c>
      <c r="O559">
        <v>0</v>
      </c>
      <c r="P559">
        <v>12</v>
      </c>
      <c r="Q559" t="s">
        <v>42</v>
      </c>
      <c r="R559" t="s">
        <v>62</v>
      </c>
    </row>
    <row r="560" spans="1:18" x14ac:dyDescent="0.25">
      <c r="A560">
        <v>1559</v>
      </c>
      <c r="B560" t="s">
        <v>1134</v>
      </c>
      <c r="C560" t="s">
        <v>32</v>
      </c>
      <c r="D560" t="s">
        <v>67</v>
      </c>
      <c r="E560" t="s">
        <v>34</v>
      </c>
      <c r="F560" t="s">
        <v>35</v>
      </c>
      <c r="G560">
        <v>0.2</v>
      </c>
      <c r="H560">
        <v>40627</v>
      </c>
      <c r="I560" t="s">
        <v>1135</v>
      </c>
      <c r="J560">
        <v>89.1</v>
      </c>
      <c r="K560">
        <v>40.200000000000003</v>
      </c>
      <c r="L560">
        <v>85.9</v>
      </c>
      <c r="M560">
        <v>133</v>
      </c>
      <c r="N560">
        <v>105</v>
      </c>
      <c r="O560">
        <v>4</v>
      </c>
      <c r="P560">
        <v>21</v>
      </c>
      <c r="Q560" t="s">
        <v>37</v>
      </c>
      <c r="R560" t="s">
        <v>25</v>
      </c>
    </row>
    <row r="561" spans="1:18" x14ac:dyDescent="0.25">
      <c r="A561">
        <v>1560</v>
      </c>
      <c r="B561" t="s">
        <v>1136</v>
      </c>
      <c r="C561" t="s">
        <v>44</v>
      </c>
      <c r="D561" t="s">
        <v>70</v>
      </c>
      <c r="E561" t="s">
        <v>46</v>
      </c>
      <c r="F561" t="s">
        <v>103</v>
      </c>
      <c r="G561">
        <v>9</v>
      </c>
      <c r="H561">
        <v>98996</v>
      </c>
      <c r="I561" t="s">
        <v>1137</v>
      </c>
      <c r="J561">
        <v>93.8</v>
      </c>
      <c r="K561">
        <v>27.9</v>
      </c>
      <c r="L561">
        <v>67.599999999999994</v>
      </c>
      <c r="M561">
        <v>106</v>
      </c>
      <c r="N561">
        <v>70</v>
      </c>
      <c r="O561">
        <v>4</v>
      </c>
      <c r="P561">
        <v>14</v>
      </c>
      <c r="Q561" t="s">
        <v>37</v>
      </c>
      <c r="R561" t="s">
        <v>203</v>
      </c>
    </row>
    <row r="562" spans="1:18" x14ac:dyDescent="0.25">
      <c r="A562">
        <v>1561</v>
      </c>
      <c r="B562" t="s">
        <v>1138</v>
      </c>
      <c r="C562" t="s">
        <v>27</v>
      </c>
      <c r="D562" t="s">
        <v>64</v>
      </c>
      <c r="E562" t="s">
        <v>29</v>
      </c>
      <c r="F562" t="s">
        <v>103</v>
      </c>
      <c r="G562">
        <v>3.9</v>
      </c>
      <c r="H562">
        <v>60080</v>
      </c>
      <c r="I562" t="s">
        <v>834</v>
      </c>
      <c r="J562">
        <v>86.9</v>
      </c>
      <c r="K562">
        <v>7.4</v>
      </c>
      <c r="L562">
        <v>76.5</v>
      </c>
      <c r="M562">
        <v>59</v>
      </c>
      <c r="N562">
        <v>44</v>
      </c>
      <c r="O562">
        <v>6</v>
      </c>
      <c r="P562">
        <v>11</v>
      </c>
      <c r="Q562" t="s">
        <v>24</v>
      </c>
      <c r="R562" t="s">
        <v>57</v>
      </c>
    </row>
    <row r="563" spans="1:18" x14ac:dyDescent="0.25">
      <c r="A563">
        <v>1562</v>
      </c>
      <c r="B563" t="s">
        <v>1139</v>
      </c>
      <c r="C563" t="s">
        <v>32</v>
      </c>
      <c r="D563" t="s">
        <v>67</v>
      </c>
      <c r="E563" t="s">
        <v>94</v>
      </c>
      <c r="F563" t="s">
        <v>35</v>
      </c>
      <c r="G563">
        <v>8.3000000000000007</v>
      </c>
      <c r="H563">
        <v>91704</v>
      </c>
      <c r="I563" t="s">
        <v>1140</v>
      </c>
      <c r="J563">
        <v>94.9</v>
      </c>
      <c r="K563">
        <v>35.700000000000003</v>
      </c>
      <c r="L563">
        <v>80.5</v>
      </c>
      <c r="M563">
        <v>93</v>
      </c>
      <c r="N563">
        <v>65</v>
      </c>
      <c r="O563">
        <v>5</v>
      </c>
      <c r="P563">
        <v>16</v>
      </c>
      <c r="Q563" t="s">
        <v>37</v>
      </c>
      <c r="R563" t="s">
        <v>25</v>
      </c>
    </row>
    <row r="564" spans="1:18" x14ac:dyDescent="0.25">
      <c r="A564">
        <v>1563</v>
      </c>
      <c r="B564" t="s">
        <v>1141</v>
      </c>
      <c r="C564" t="s">
        <v>49</v>
      </c>
      <c r="D564" t="s">
        <v>59</v>
      </c>
      <c r="E564" t="s">
        <v>51</v>
      </c>
      <c r="F564" t="s">
        <v>103</v>
      </c>
      <c r="G564">
        <v>8.5</v>
      </c>
      <c r="H564">
        <v>72585</v>
      </c>
      <c r="I564" t="s">
        <v>1142</v>
      </c>
      <c r="J564">
        <v>93.6</v>
      </c>
      <c r="K564">
        <v>15</v>
      </c>
      <c r="L564">
        <v>84.2</v>
      </c>
      <c r="M564">
        <v>56</v>
      </c>
      <c r="N564">
        <v>45</v>
      </c>
      <c r="O564">
        <v>5</v>
      </c>
      <c r="P564">
        <v>4</v>
      </c>
      <c r="Q564" t="s">
        <v>42</v>
      </c>
      <c r="R564" t="s">
        <v>25</v>
      </c>
    </row>
    <row r="565" spans="1:18" x14ac:dyDescent="0.25">
      <c r="A565">
        <v>1564</v>
      </c>
      <c r="B565" t="s">
        <v>1143</v>
      </c>
      <c r="C565" t="s">
        <v>19</v>
      </c>
      <c r="D565" t="s">
        <v>20</v>
      </c>
      <c r="E565" t="s">
        <v>21</v>
      </c>
      <c r="F565" t="s">
        <v>76</v>
      </c>
      <c r="G565">
        <v>0.9</v>
      </c>
      <c r="H565">
        <v>35635</v>
      </c>
      <c r="I565" t="s">
        <v>1144</v>
      </c>
      <c r="J565">
        <v>91.6</v>
      </c>
      <c r="K565">
        <v>24.3</v>
      </c>
      <c r="L565">
        <v>83.8</v>
      </c>
      <c r="M565">
        <v>76</v>
      </c>
      <c r="N565">
        <v>62</v>
      </c>
      <c r="O565">
        <v>4</v>
      </c>
      <c r="P565">
        <v>14</v>
      </c>
      <c r="Q565" t="s">
        <v>24</v>
      </c>
      <c r="R565" t="s">
        <v>25</v>
      </c>
    </row>
    <row r="566" spans="1:18" x14ac:dyDescent="0.25">
      <c r="A566">
        <v>1565</v>
      </c>
      <c r="B566" t="s">
        <v>1145</v>
      </c>
      <c r="C566" t="s">
        <v>27</v>
      </c>
      <c r="D566" t="s">
        <v>75</v>
      </c>
      <c r="E566" t="s">
        <v>85</v>
      </c>
      <c r="F566" t="s">
        <v>35</v>
      </c>
      <c r="G566">
        <v>5.6</v>
      </c>
      <c r="H566">
        <v>67421</v>
      </c>
      <c r="I566" t="s">
        <v>98</v>
      </c>
      <c r="J566">
        <v>86.2</v>
      </c>
      <c r="K566">
        <v>1.7</v>
      </c>
      <c r="L566">
        <v>89</v>
      </c>
      <c r="M566">
        <v>66</v>
      </c>
      <c r="N566">
        <v>58</v>
      </c>
      <c r="O566">
        <v>3</v>
      </c>
      <c r="P566">
        <v>12</v>
      </c>
      <c r="Q566" t="s">
        <v>42</v>
      </c>
      <c r="R566" t="s">
        <v>25</v>
      </c>
    </row>
    <row r="567" spans="1:18" x14ac:dyDescent="0.25">
      <c r="A567">
        <v>1566</v>
      </c>
      <c r="B567" t="s">
        <v>1146</v>
      </c>
      <c r="C567" t="s">
        <v>27</v>
      </c>
      <c r="D567" t="s">
        <v>28</v>
      </c>
      <c r="E567" t="s">
        <v>85</v>
      </c>
      <c r="F567" t="s">
        <v>86</v>
      </c>
      <c r="G567">
        <v>3.5</v>
      </c>
      <c r="H567">
        <v>49967</v>
      </c>
      <c r="I567" t="s">
        <v>1147</v>
      </c>
      <c r="J567">
        <v>93.8</v>
      </c>
      <c r="K567">
        <v>0</v>
      </c>
      <c r="L567">
        <v>90.9</v>
      </c>
      <c r="M567">
        <v>81</v>
      </c>
      <c r="N567">
        <v>73</v>
      </c>
      <c r="O567">
        <v>3</v>
      </c>
      <c r="P567">
        <v>12</v>
      </c>
      <c r="Q567" t="s">
        <v>42</v>
      </c>
      <c r="R567" t="s">
        <v>62</v>
      </c>
    </row>
    <row r="568" spans="1:18" x14ac:dyDescent="0.25">
      <c r="A568">
        <v>1567</v>
      </c>
      <c r="B568" t="s">
        <v>1148</v>
      </c>
      <c r="C568" t="s">
        <v>49</v>
      </c>
      <c r="D568" t="s">
        <v>59</v>
      </c>
      <c r="E568" t="s">
        <v>51</v>
      </c>
      <c r="F568" t="s">
        <v>40</v>
      </c>
      <c r="G568">
        <v>2.6</v>
      </c>
      <c r="H568">
        <v>64252</v>
      </c>
      <c r="I568" t="s">
        <v>1149</v>
      </c>
      <c r="J568">
        <v>90.9</v>
      </c>
      <c r="K568">
        <v>11.8</v>
      </c>
      <c r="L568">
        <v>92.2</v>
      </c>
      <c r="M568">
        <v>67</v>
      </c>
      <c r="N568">
        <v>63</v>
      </c>
      <c r="O568">
        <v>1</v>
      </c>
      <c r="P568">
        <v>9</v>
      </c>
      <c r="Q568" t="s">
        <v>42</v>
      </c>
      <c r="R568" t="s">
        <v>62</v>
      </c>
    </row>
    <row r="569" spans="1:18" x14ac:dyDescent="0.25">
      <c r="A569">
        <v>1568</v>
      </c>
      <c r="B569" t="s">
        <v>1150</v>
      </c>
      <c r="C569" t="s">
        <v>27</v>
      </c>
      <c r="D569" t="s">
        <v>75</v>
      </c>
      <c r="E569" t="s">
        <v>118</v>
      </c>
      <c r="F569" t="s">
        <v>40</v>
      </c>
      <c r="G569">
        <v>0.9</v>
      </c>
      <c r="H569">
        <v>48388</v>
      </c>
      <c r="I569" t="s">
        <v>1083</v>
      </c>
      <c r="J569">
        <v>91.7</v>
      </c>
      <c r="K569">
        <v>15.6</v>
      </c>
      <c r="L569">
        <v>94.5</v>
      </c>
      <c r="M569">
        <v>66</v>
      </c>
      <c r="N569">
        <v>66</v>
      </c>
      <c r="O569">
        <v>0</v>
      </c>
      <c r="P569">
        <v>25</v>
      </c>
      <c r="Q569" t="s">
        <v>42</v>
      </c>
      <c r="R569" t="s">
        <v>62</v>
      </c>
    </row>
    <row r="570" spans="1:18" x14ac:dyDescent="0.25">
      <c r="A570">
        <v>1569</v>
      </c>
      <c r="B570" t="s">
        <v>1151</v>
      </c>
      <c r="C570" t="s">
        <v>19</v>
      </c>
      <c r="D570" t="s">
        <v>137</v>
      </c>
      <c r="E570" t="s">
        <v>21</v>
      </c>
      <c r="F570" t="s">
        <v>22</v>
      </c>
      <c r="G570">
        <v>3.4</v>
      </c>
      <c r="H570">
        <v>63373</v>
      </c>
      <c r="I570" t="s">
        <v>1152</v>
      </c>
      <c r="J570">
        <v>93.3</v>
      </c>
      <c r="K570">
        <v>18.899999999999999</v>
      </c>
      <c r="L570">
        <v>82.9</v>
      </c>
      <c r="M570">
        <v>95</v>
      </c>
      <c r="N570">
        <v>80</v>
      </c>
      <c r="O570">
        <v>3</v>
      </c>
      <c r="P570">
        <v>7</v>
      </c>
      <c r="Q570" t="s">
        <v>24</v>
      </c>
      <c r="R570" t="s">
        <v>25</v>
      </c>
    </row>
    <row r="571" spans="1:18" x14ac:dyDescent="0.25">
      <c r="A571">
        <v>1570</v>
      </c>
      <c r="B571" t="s">
        <v>1153</v>
      </c>
      <c r="C571" t="s">
        <v>19</v>
      </c>
      <c r="D571" t="s">
        <v>137</v>
      </c>
      <c r="E571" t="s">
        <v>39</v>
      </c>
      <c r="F571" t="s">
        <v>76</v>
      </c>
      <c r="G571">
        <v>3.7</v>
      </c>
      <c r="H571">
        <v>55540</v>
      </c>
      <c r="I571" t="s">
        <v>1154</v>
      </c>
      <c r="J571">
        <v>90.3</v>
      </c>
      <c r="K571">
        <v>6.5</v>
      </c>
      <c r="L571">
        <v>82.8</v>
      </c>
      <c r="M571">
        <v>85</v>
      </c>
      <c r="N571">
        <v>64</v>
      </c>
      <c r="O571">
        <v>3</v>
      </c>
      <c r="P571">
        <v>8</v>
      </c>
      <c r="Q571" t="s">
        <v>37</v>
      </c>
      <c r="R571" t="s">
        <v>25</v>
      </c>
    </row>
    <row r="572" spans="1:18" x14ac:dyDescent="0.25">
      <c r="A572">
        <v>1571</v>
      </c>
      <c r="B572" t="s">
        <v>1155</v>
      </c>
      <c r="C572" t="s">
        <v>49</v>
      </c>
      <c r="D572" t="s">
        <v>59</v>
      </c>
      <c r="E572" t="s">
        <v>51</v>
      </c>
      <c r="F572" t="s">
        <v>35</v>
      </c>
      <c r="G572">
        <v>6.9</v>
      </c>
      <c r="H572">
        <v>71150</v>
      </c>
      <c r="I572" t="s">
        <v>1156</v>
      </c>
      <c r="J572">
        <v>96.7</v>
      </c>
      <c r="K572">
        <v>9.3000000000000007</v>
      </c>
      <c r="L572">
        <v>94.9</v>
      </c>
      <c r="M572">
        <v>47</v>
      </c>
      <c r="N572">
        <v>47</v>
      </c>
      <c r="O572">
        <v>0</v>
      </c>
      <c r="P572">
        <v>26</v>
      </c>
      <c r="Q572" t="s">
        <v>42</v>
      </c>
      <c r="R572" t="s">
        <v>62</v>
      </c>
    </row>
    <row r="573" spans="1:18" x14ac:dyDescent="0.25">
      <c r="A573">
        <v>1572</v>
      </c>
      <c r="B573" t="s">
        <v>1157</v>
      </c>
      <c r="C573" t="s">
        <v>27</v>
      </c>
      <c r="D573" t="s">
        <v>28</v>
      </c>
      <c r="E573" t="s">
        <v>29</v>
      </c>
      <c r="F573" t="s">
        <v>103</v>
      </c>
      <c r="G573">
        <v>4.3</v>
      </c>
      <c r="H573">
        <v>72585</v>
      </c>
      <c r="I573" t="s">
        <v>1158</v>
      </c>
      <c r="J573">
        <v>88.3</v>
      </c>
      <c r="K573">
        <v>14.7</v>
      </c>
      <c r="L573">
        <v>91.2</v>
      </c>
      <c r="M573">
        <v>75</v>
      </c>
      <c r="N573">
        <v>75</v>
      </c>
      <c r="O573">
        <v>2</v>
      </c>
      <c r="P573">
        <v>13</v>
      </c>
      <c r="Q573" t="s">
        <v>42</v>
      </c>
      <c r="R573" t="s">
        <v>62</v>
      </c>
    </row>
    <row r="574" spans="1:18" x14ac:dyDescent="0.25">
      <c r="A574">
        <v>1573</v>
      </c>
      <c r="B574" t="s">
        <v>1159</v>
      </c>
      <c r="C574" t="s">
        <v>19</v>
      </c>
      <c r="D574" t="s">
        <v>81</v>
      </c>
      <c r="E574" t="s">
        <v>21</v>
      </c>
      <c r="F574" t="s">
        <v>35</v>
      </c>
      <c r="G574">
        <v>2.2999999999999998</v>
      </c>
      <c r="H574">
        <v>48340</v>
      </c>
      <c r="I574" t="s">
        <v>1160</v>
      </c>
      <c r="J574">
        <v>99</v>
      </c>
      <c r="K574">
        <v>36.700000000000003</v>
      </c>
      <c r="L574">
        <v>91.7</v>
      </c>
      <c r="M574">
        <v>77</v>
      </c>
      <c r="N574">
        <v>77</v>
      </c>
      <c r="O574">
        <v>4</v>
      </c>
      <c r="P574">
        <v>19</v>
      </c>
      <c r="Q574" t="s">
        <v>37</v>
      </c>
      <c r="R574" t="s">
        <v>62</v>
      </c>
    </row>
    <row r="575" spans="1:18" x14ac:dyDescent="0.25">
      <c r="A575">
        <v>1574</v>
      </c>
      <c r="B575" t="s">
        <v>1161</v>
      </c>
      <c r="C575" t="s">
        <v>89</v>
      </c>
      <c r="D575" t="s">
        <v>102</v>
      </c>
      <c r="E575" t="s">
        <v>91</v>
      </c>
      <c r="F575" t="s">
        <v>76</v>
      </c>
      <c r="G575">
        <v>4.3</v>
      </c>
      <c r="H575">
        <v>50903</v>
      </c>
      <c r="I575" t="s">
        <v>1162</v>
      </c>
      <c r="J575">
        <v>95.1</v>
      </c>
      <c r="K575">
        <v>14</v>
      </c>
      <c r="L575">
        <v>88.1</v>
      </c>
      <c r="M575">
        <v>91</v>
      </c>
      <c r="N575">
        <v>80</v>
      </c>
      <c r="O575">
        <v>3</v>
      </c>
      <c r="P575">
        <v>17</v>
      </c>
      <c r="Q575" t="s">
        <v>42</v>
      </c>
      <c r="R575" t="s">
        <v>25</v>
      </c>
    </row>
    <row r="576" spans="1:18" x14ac:dyDescent="0.25">
      <c r="A576">
        <v>1575</v>
      </c>
      <c r="B576" t="s">
        <v>1163</v>
      </c>
      <c r="C576" t="s">
        <v>27</v>
      </c>
      <c r="D576" t="s">
        <v>28</v>
      </c>
      <c r="E576" t="s">
        <v>85</v>
      </c>
      <c r="F576" t="s">
        <v>35</v>
      </c>
      <c r="G576">
        <v>3.5</v>
      </c>
      <c r="H576">
        <v>64758</v>
      </c>
      <c r="I576" t="s">
        <v>1164</v>
      </c>
      <c r="J576">
        <v>97.6</v>
      </c>
      <c r="K576">
        <v>4.5</v>
      </c>
      <c r="L576">
        <v>89.6</v>
      </c>
      <c r="M576">
        <v>87</v>
      </c>
      <c r="N576">
        <v>84</v>
      </c>
      <c r="O576">
        <v>1</v>
      </c>
      <c r="P576">
        <v>8</v>
      </c>
      <c r="Q576" t="s">
        <v>42</v>
      </c>
      <c r="R576" t="s">
        <v>25</v>
      </c>
    </row>
    <row r="577" spans="1:18" x14ac:dyDescent="0.25">
      <c r="A577">
        <v>1576</v>
      </c>
      <c r="B577" t="s">
        <v>1165</v>
      </c>
      <c r="C577" t="s">
        <v>32</v>
      </c>
      <c r="D577" t="s">
        <v>33</v>
      </c>
      <c r="E577" t="s">
        <v>34</v>
      </c>
      <c r="F577" t="s">
        <v>35</v>
      </c>
      <c r="G577">
        <v>4.3</v>
      </c>
      <c r="H577">
        <v>63682</v>
      </c>
      <c r="I577" t="s">
        <v>1166</v>
      </c>
      <c r="J577">
        <v>96.4</v>
      </c>
      <c r="K577">
        <v>25.5</v>
      </c>
      <c r="L577">
        <v>87.8</v>
      </c>
      <c r="M577">
        <v>87</v>
      </c>
      <c r="N577">
        <v>71</v>
      </c>
      <c r="O577">
        <v>2</v>
      </c>
      <c r="P577">
        <v>26</v>
      </c>
      <c r="Q577" t="s">
        <v>24</v>
      </c>
      <c r="R577" t="s">
        <v>25</v>
      </c>
    </row>
    <row r="578" spans="1:18" x14ac:dyDescent="0.25">
      <c r="A578">
        <v>1577</v>
      </c>
      <c r="B578" t="s">
        <v>1167</v>
      </c>
      <c r="C578" t="s">
        <v>27</v>
      </c>
      <c r="D578" t="s">
        <v>28</v>
      </c>
      <c r="E578" t="s">
        <v>29</v>
      </c>
      <c r="F578" t="s">
        <v>86</v>
      </c>
      <c r="G578">
        <v>8.1</v>
      </c>
      <c r="H578">
        <v>86227</v>
      </c>
      <c r="I578" t="s">
        <v>476</v>
      </c>
      <c r="J578">
        <v>93.1</v>
      </c>
      <c r="K578">
        <v>12</v>
      </c>
      <c r="L578">
        <v>100</v>
      </c>
      <c r="M578">
        <v>56</v>
      </c>
      <c r="N578">
        <v>54</v>
      </c>
      <c r="O578">
        <v>0</v>
      </c>
      <c r="P578">
        <v>12</v>
      </c>
      <c r="Q578" t="s">
        <v>42</v>
      </c>
      <c r="R578" t="s">
        <v>62</v>
      </c>
    </row>
    <row r="579" spans="1:18" x14ac:dyDescent="0.25">
      <c r="A579">
        <v>1578</v>
      </c>
      <c r="B579" t="s">
        <v>1168</v>
      </c>
      <c r="C579" t="s">
        <v>19</v>
      </c>
      <c r="D579" t="s">
        <v>137</v>
      </c>
      <c r="E579" t="s">
        <v>82</v>
      </c>
      <c r="F579" t="s">
        <v>40</v>
      </c>
      <c r="G579">
        <v>2.6</v>
      </c>
      <c r="H579">
        <v>60035</v>
      </c>
      <c r="I579" t="s">
        <v>1169</v>
      </c>
      <c r="J579">
        <v>91.2</v>
      </c>
      <c r="K579">
        <v>18.600000000000001</v>
      </c>
      <c r="L579">
        <v>85.9</v>
      </c>
      <c r="M579">
        <v>107</v>
      </c>
      <c r="N579">
        <v>74</v>
      </c>
      <c r="O579">
        <v>0</v>
      </c>
      <c r="P579">
        <v>13</v>
      </c>
      <c r="Q579" t="s">
        <v>24</v>
      </c>
      <c r="R579" t="s">
        <v>25</v>
      </c>
    </row>
    <row r="580" spans="1:18" x14ac:dyDescent="0.25">
      <c r="A580">
        <v>1579</v>
      </c>
      <c r="B580" t="s">
        <v>1170</v>
      </c>
      <c r="C580" t="s">
        <v>32</v>
      </c>
      <c r="D580" t="s">
        <v>67</v>
      </c>
      <c r="E580" t="s">
        <v>128</v>
      </c>
      <c r="F580" t="s">
        <v>22</v>
      </c>
      <c r="G580">
        <v>8.9</v>
      </c>
      <c r="H580">
        <v>96769</v>
      </c>
      <c r="I580" t="s">
        <v>966</v>
      </c>
      <c r="J580">
        <v>89.8</v>
      </c>
      <c r="K580">
        <v>32.6</v>
      </c>
      <c r="L580">
        <v>82.5</v>
      </c>
      <c r="M580">
        <v>84</v>
      </c>
      <c r="N580">
        <v>65</v>
      </c>
      <c r="O580">
        <v>5</v>
      </c>
      <c r="P580">
        <v>20</v>
      </c>
      <c r="Q580" t="s">
        <v>37</v>
      </c>
      <c r="R580" t="s">
        <v>25</v>
      </c>
    </row>
    <row r="581" spans="1:18" x14ac:dyDescent="0.25">
      <c r="A581">
        <v>1580</v>
      </c>
      <c r="B581" t="s">
        <v>1171</v>
      </c>
      <c r="C581" t="s">
        <v>89</v>
      </c>
      <c r="D581" t="s">
        <v>90</v>
      </c>
      <c r="E581" t="s">
        <v>111</v>
      </c>
      <c r="F581" t="s">
        <v>35</v>
      </c>
      <c r="G581">
        <v>11.1</v>
      </c>
      <c r="H581">
        <v>111139</v>
      </c>
      <c r="I581" t="s">
        <v>1172</v>
      </c>
      <c r="J581">
        <v>86.4</v>
      </c>
      <c r="K581">
        <v>13.1</v>
      </c>
      <c r="L581">
        <v>88.7</v>
      </c>
      <c r="M581">
        <v>97</v>
      </c>
      <c r="N581">
        <v>89</v>
      </c>
      <c r="O581">
        <v>1</v>
      </c>
      <c r="P581">
        <v>13</v>
      </c>
      <c r="Q581" t="s">
        <v>42</v>
      </c>
      <c r="R581" t="s">
        <v>25</v>
      </c>
    </row>
    <row r="582" spans="1:18" x14ac:dyDescent="0.25">
      <c r="A582">
        <v>1581</v>
      </c>
      <c r="B582" t="s">
        <v>1173</v>
      </c>
      <c r="C582" t="s">
        <v>89</v>
      </c>
      <c r="D582" t="s">
        <v>90</v>
      </c>
      <c r="E582" t="s">
        <v>152</v>
      </c>
      <c r="F582" t="s">
        <v>40</v>
      </c>
      <c r="G582">
        <v>5.4</v>
      </c>
      <c r="H582">
        <v>77709</v>
      </c>
      <c r="I582" t="s">
        <v>148</v>
      </c>
      <c r="J582">
        <v>88.7</v>
      </c>
      <c r="K582">
        <v>18.5</v>
      </c>
      <c r="L582">
        <v>84.9</v>
      </c>
      <c r="M582">
        <v>72</v>
      </c>
      <c r="N582">
        <v>58</v>
      </c>
      <c r="O582">
        <v>3</v>
      </c>
      <c r="P582">
        <v>17</v>
      </c>
      <c r="Q582" t="s">
        <v>42</v>
      </c>
      <c r="R582" t="s">
        <v>25</v>
      </c>
    </row>
    <row r="583" spans="1:18" x14ac:dyDescent="0.25">
      <c r="A583">
        <v>1582</v>
      </c>
      <c r="B583" t="s">
        <v>1174</v>
      </c>
      <c r="C583" t="s">
        <v>32</v>
      </c>
      <c r="D583" t="s">
        <v>67</v>
      </c>
      <c r="E583" t="s">
        <v>94</v>
      </c>
      <c r="F583" t="s">
        <v>35</v>
      </c>
      <c r="G583">
        <v>5.7</v>
      </c>
      <c r="H583">
        <v>69079</v>
      </c>
      <c r="I583" t="s">
        <v>978</v>
      </c>
      <c r="J583">
        <v>94.6</v>
      </c>
      <c r="K583">
        <v>23.5</v>
      </c>
      <c r="L583">
        <v>80.7</v>
      </c>
      <c r="M583">
        <v>112</v>
      </c>
      <c r="N583">
        <v>100</v>
      </c>
      <c r="O583">
        <v>2</v>
      </c>
      <c r="P583">
        <v>16</v>
      </c>
      <c r="Q583" t="s">
        <v>37</v>
      </c>
      <c r="R583" t="s">
        <v>25</v>
      </c>
    </row>
    <row r="584" spans="1:18" x14ac:dyDescent="0.25">
      <c r="A584">
        <v>1583</v>
      </c>
      <c r="B584" t="s">
        <v>1175</v>
      </c>
      <c r="C584" t="s">
        <v>44</v>
      </c>
      <c r="D584" t="s">
        <v>45</v>
      </c>
      <c r="E584" t="s">
        <v>97</v>
      </c>
      <c r="F584" t="s">
        <v>76</v>
      </c>
      <c r="G584">
        <v>8.6999999999999993</v>
      </c>
      <c r="H584">
        <v>92771</v>
      </c>
      <c r="I584" t="s">
        <v>407</v>
      </c>
      <c r="J584">
        <v>93.3</v>
      </c>
      <c r="K584">
        <v>22.3</v>
      </c>
      <c r="L584">
        <v>79</v>
      </c>
      <c r="M584">
        <v>73</v>
      </c>
      <c r="N584">
        <v>54</v>
      </c>
      <c r="O584">
        <v>2</v>
      </c>
      <c r="P584">
        <v>18</v>
      </c>
      <c r="Q584" t="s">
        <v>24</v>
      </c>
      <c r="R584" t="s">
        <v>57</v>
      </c>
    </row>
    <row r="585" spans="1:18" x14ac:dyDescent="0.25">
      <c r="A585">
        <v>1584</v>
      </c>
      <c r="B585" t="s">
        <v>1176</v>
      </c>
      <c r="C585" t="s">
        <v>49</v>
      </c>
      <c r="D585" t="s">
        <v>50</v>
      </c>
      <c r="E585" t="s">
        <v>51</v>
      </c>
      <c r="F585" t="s">
        <v>35</v>
      </c>
      <c r="G585">
        <v>5.5</v>
      </c>
      <c r="H585">
        <v>65921</v>
      </c>
      <c r="I585" t="s">
        <v>1177</v>
      </c>
      <c r="J585">
        <v>97.4</v>
      </c>
      <c r="K585">
        <v>8</v>
      </c>
      <c r="L585">
        <v>80.099999999999994</v>
      </c>
      <c r="M585">
        <v>73</v>
      </c>
      <c r="N585">
        <v>57</v>
      </c>
      <c r="O585">
        <v>3</v>
      </c>
      <c r="P585">
        <v>12</v>
      </c>
      <c r="Q585" t="s">
        <v>42</v>
      </c>
      <c r="R585" t="s">
        <v>25</v>
      </c>
    </row>
    <row r="586" spans="1:18" x14ac:dyDescent="0.25">
      <c r="A586">
        <v>1585</v>
      </c>
      <c r="B586" t="s">
        <v>1178</v>
      </c>
      <c r="C586" t="s">
        <v>49</v>
      </c>
      <c r="D586" t="s">
        <v>178</v>
      </c>
      <c r="E586" t="s">
        <v>51</v>
      </c>
      <c r="F586" t="s">
        <v>86</v>
      </c>
      <c r="G586">
        <v>3.5</v>
      </c>
      <c r="H586">
        <v>45436</v>
      </c>
      <c r="I586" t="s">
        <v>1179</v>
      </c>
      <c r="J586">
        <v>93.6</v>
      </c>
      <c r="K586">
        <v>13.7</v>
      </c>
      <c r="L586">
        <v>79.099999999999994</v>
      </c>
      <c r="M586">
        <v>59</v>
      </c>
      <c r="N586">
        <v>40</v>
      </c>
      <c r="O586">
        <v>1</v>
      </c>
      <c r="P586">
        <v>10</v>
      </c>
      <c r="Q586" t="s">
        <v>24</v>
      </c>
      <c r="R586" t="s">
        <v>57</v>
      </c>
    </row>
    <row r="587" spans="1:18" x14ac:dyDescent="0.25">
      <c r="A587">
        <v>1586</v>
      </c>
      <c r="B587" t="s">
        <v>1180</v>
      </c>
      <c r="C587" t="s">
        <v>32</v>
      </c>
      <c r="D587" t="s">
        <v>33</v>
      </c>
      <c r="E587" t="s">
        <v>128</v>
      </c>
      <c r="F587" t="s">
        <v>76</v>
      </c>
      <c r="G587">
        <v>7.6</v>
      </c>
      <c r="H587">
        <v>99996</v>
      </c>
      <c r="I587" t="s">
        <v>1149</v>
      </c>
      <c r="J587">
        <v>97.9</v>
      </c>
      <c r="K587">
        <v>30.3</v>
      </c>
      <c r="L587">
        <v>90</v>
      </c>
      <c r="M587">
        <v>137</v>
      </c>
      <c r="N587">
        <v>123</v>
      </c>
      <c r="O587">
        <v>2</v>
      </c>
      <c r="P587">
        <v>11</v>
      </c>
      <c r="Q587" t="s">
        <v>24</v>
      </c>
      <c r="R587" t="s">
        <v>62</v>
      </c>
    </row>
    <row r="588" spans="1:18" x14ac:dyDescent="0.25">
      <c r="A588">
        <v>1587</v>
      </c>
      <c r="B588" t="s">
        <v>1181</v>
      </c>
      <c r="C588" t="s">
        <v>49</v>
      </c>
      <c r="D588" t="s">
        <v>50</v>
      </c>
      <c r="E588" t="s">
        <v>60</v>
      </c>
      <c r="F588" t="s">
        <v>22</v>
      </c>
      <c r="G588">
        <v>6</v>
      </c>
      <c r="H588">
        <v>72207</v>
      </c>
      <c r="I588" t="s">
        <v>1182</v>
      </c>
      <c r="J588">
        <v>89.9</v>
      </c>
      <c r="K588">
        <v>21</v>
      </c>
      <c r="L588">
        <v>90.9</v>
      </c>
      <c r="M588">
        <v>86</v>
      </c>
      <c r="N588">
        <v>74</v>
      </c>
      <c r="O588">
        <v>0</v>
      </c>
      <c r="P588">
        <v>7</v>
      </c>
      <c r="Q588" t="s">
        <v>42</v>
      </c>
      <c r="R588" t="s">
        <v>62</v>
      </c>
    </row>
    <row r="589" spans="1:18" x14ac:dyDescent="0.25">
      <c r="A589">
        <v>1588</v>
      </c>
      <c r="B589" t="s">
        <v>1183</v>
      </c>
      <c r="C589" t="s">
        <v>19</v>
      </c>
      <c r="D589" t="s">
        <v>81</v>
      </c>
      <c r="E589" t="s">
        <v>21</v>
      </c>
      <c r="F589" t="s">
        <v>35</v>
      </c>
      <c r="G589">
        <v>7.5</v>
      </c>
      <c r="H589">
        <v>85742</v>
      </c>
      <c r="I589" t="s">
        <v>1184</v>
      </c>
      <c r="J589">
        <v>94.5</v>
      </c>
      <c r="K589">
        <v>17.100000000000001</v>
      </c>
      <c r="L589">
        <v>81.8</v>
      </c>
      <c r="M589">
        <v>88</v>
      </c>
      <c r="N589">
        <v>62</v>
      </c>
      <c r="O589">
        <v>5</v>
      </c>
      <c r="P589">
        <v>2</v>
      </c>
      <c r="Q589" t="s">
        <v>24</v>
      </c>
      <c r="R589" t="s">
        <v>25</v>
      </c>
    </row>
    <row r="590" spans="1:18" x14ac:dyDescent="0.25">
      <c r="A590">
        <v>1589</v>
      </c>
      <c r="B590" t="s">
        <v>1185</v>
      </c>
      <c r="C590" t="s">
        <v>32</v>
      </c>
      <c r="D590" t="s">
        <v>33</v>
      </c>
      <c r="E590" t="s">
        <v>128</v>
      </c>
      <c r="F590" t="s">
        <v>35</v>
      </c>
      <c r="G590">
        <v>6.9</v>
      </c>
      <c r="H590">
        <v>74528</v>
      </c>
      <c r="I590" t="s">
        <v>1186</v>
      </c>
      <c r="J590">
        <v>94.8</v>
      </c>
      <c r="K590">
        <v>24.6</v>
      </c>
      <c r="L590">
        <v>92.3</v>
      </c>
      <c r="M590">
        <v>106</v>
      </c>
      <c r="N590">
        <v>105</v>
      </c>
      <c r="O590">
        <v>4</v>
      </c>
      <c r="P590">
        <v>21</v>
      </c>
      <c r="Q590" t="s">
        <v>24</v>
      </c>
      <c r="R590" t="s">
        <v>62</v>
      </c>
    </row>
    <row r="591" spans="1:18" x14ac:dyDescent="0.25">
      <c r="A591">
        <v>1590</v>
      </c>
      <c r="B591" t="s">
        <v>1187</v>
      </c>
      <c r="C591" t="s">
        <v>49</v>
      </c>
      <c r="D591" t="s">
        <v>59</v>
      </c>
      <c r="E591" t="s">
        <v>163</v>
      </c>
      <c r="F591" t="s">
        <v>22</v>
      </c>
      <c r="G591">
        <v>8.9</v>
      </c>
      <c r="H591">
        <v>96375</v>
      </c>
      <c r="I591" t="s">
        <v>1188</v>
      </c>
      <c r="J591">
        <v>94.2</v>
      </c>
      <c r="K591">
        <v>21.5</v>
      </c>
      <c r="L591">
        <v>100</v>
      </c>
      <c r="M591">
        <v>61</v>
      </c>
      <c r="N591">
        <v>61</v>
      </c>
      <c r="O591">
        <v>0</v>
      </c>
      <c r="P591">
        <v>26</v>
      </c>
      <c r="Q591" t="s">
        <v>42</v>
      </c>
      <c r="R591" t="s">
        <v>62</v>
      </c>
    </row>
    <row r="592" spans="1:18" x14ac:dyDescent="0.25">
      <c r="A592">
        <v>1591</v>
      </c>
      <c r="B592" t="s">
        <v>1189</v>
      </c>
      <c r="C592" t="s">
        <v>89</v>
      </c>
      <c r="D592" t="s">
        <v>90</v>
      </c>
      <c r="E592" t="s">
        <v>152</v>
      </c>
      <c r="F592" t="s">
        <v>76</v>
      </c>
      <c r="G592">
        <v>2.9</v>
      </c>
      <c r="H592">
        <v>53335</v>
      </c>
      <c r="I592" t="s">
        <v>1190</v>
      </c>
      <c r="J592">
        <v>88.3</v>
      </c>
      <c r="K592">
        <v>14.5</v>
      </c>
      <c r="L592">
        <v>89.9</v>
      </c>
      <c r="M592">
        <v>57</v>
      </c>
      <c r="N592">
        <v>47</v>
      </c>
      <c r="O592">
        <v>5</v>
      </c>
      <c r="P592">
        <v>26</v>
      </c>
      <c r="Q592" t="s">
        <v>24</v>
      </c>
      <c r="R592" t="s">
        <v>25</v>
      </c>
    </row>
    <row r="593" spans="1:18" x14ac:dyDescent="0.25">
      <c r="A593">
        <v>1592</v>
      </c>
      <c r="B593" t="s">
        <v>1191</v>
      </c>
      <c r="C593" t="s">
        <v>19</v>
      </c>
      <c r="D593" t="s">
        <v>81</v>
      </c>
      <c r="E593" t="s">
        <v>39</v>
      </c>
      <c r="F593" t="s">
        <v>35</v>
      </c>
      <c r="G593">
        <v>0.2</v>
      </c>
      <c r="H593">
        <v>28000</v>
      </c>
      <c r="I593" t="s">
        <v>1192</v>
      </c>
      <c r="J593">
        <v>97.7</v>
      </c>
      <c r="K593">
        <v>30.9</v>
      </c>
      <c r="L593">
        <v>94.6</v>
      </c>
      <c r="M593">
        <v>88</v>
      </c>
      <c r="N593">
        <v>75</v>
      </c>
      <c r="O593">
        <v>1</v>
      </c>
      <c r="P593">
        <v>18</v>
      </c>
      <c r="Q593" t="s">
        <v>37</v>
      </c>
      <c r="R593" t="s">
        <v>62</v>
      </c>
    </row>
    <row r="594" spans="1:18" x14ac:dyDescent="0.25">
      <c r="A594">
        <v>1593</v>
      </c>
      <c r="B594" t="s">
        <v>1193</v>
      </c>
      <c r="C594" t="s">
        <v>27</v>
      </c>
      <c r="D594" t="s">
        <v>75</v>
      </c>
      <c r="E594" t="s">
        <v>29</v>
      </c>
      <c r="F594" t="s">
        <v>86</v>
      </c>
      <c r="G594">
        <v>5.9</v>
      </c>
      <c r="H594">
        <v>82548</v>
      </c>
      <c r="I594" t="s">
        <v>1194</v>
      </c>
      <c r="J594">
        <v>87.1</v>
      </c>
      <c r="K594">
        <v>15.5</v>
      </c>
      <c r="L594">
        <v>80.7</v>
      </c>
      <c r="M594">
        <v>90</v>
      </c>
      <c r="N594">
        <v>75</v>
      </c>
      <c r="O594">
        <v>1</v>
      </c>
      <c r="P594">
        <v>15</v>
      </c>
      <c r="Q594" t="s">
        <v>24</v>
      </c>
      <c r="R594" t="s">
        <v>25</v>
      </c>
    </row>
    <row r="595" spans="1:18" x14ac:dyDescent="0.25">
      <c r="A595">
        <v>1594</v>
      </c>
      <c r="B595" t="s">
        <v>1195</v>
      </c>
      <c r="C595" t="s">
        <v>89</v>
      </c>
      <c r="D595" t="s">
        <v>90</v>
      </c>
      <c r="E595" t="s">
        <v>91</v>
      </c>
      <c r="F595" t="s">
        <v>76</v>
      </c>
      <c r="G595">
        <v>6.9</v>
      </c>
      <c r="H595">
        <v>64352</v>
      </c>
      <c r="I595" t="s">
        <v>757</v>
      </c>
      <c r="J595">
        <v>87.7</v>
      </c>
      <c r="K595">
        <v>13.8</v>
      </c>
      <c r="L595">
        <v>85</v>
      </c>
      <c r="M595">
        <v>98</v>
      </c>
      <c r="N595">
        <v>83</v>
      </c>
      <c r="O595">
        <v>1</v>
      </c>
      <c r="P595">
        <v>11</v>
      </c>
      <c r="Q595" t="s">
        <v>24</v>
      </c>
      <c r="R595" t="s">
        <v>25</v>
      </c>
    </row>
    <row r="596" spans="1:18" x14ac:dyDescent="0.25">
      <c r="A596">
        <v>1595</v>
      </c>
      <c r="B596" t="s">
        <v>1196</v>
      </c>
      <c r="C596" t="s">
        <v>89</v>
      </c>
      <c r="D596" t="s">
        <v>90</v>
      </c>
      <c r="E596" t="s">
        <v>91</v>
      </c>
      <c r="F596" t="s">
        <v>35</v>
      </c>
      <c r="G596">
        <v>7.5</v>
      </c>
      <c r="H596">
        <v>87087</v>
      </c>
      <c r="I596" t="s">
        <v>1197</v>
      </c>
      <c r="J596">
        <v>94.1</v>
      </c>
      <c r="K596">
        <v>16.3</v>
      </c>
      <c r="L596">
        <v>90.3</v>
      </c>
      <c r="M596">
        <v>88</v>
      </c>
      <c r="N596">
        <v>71</v>
      </c>
      <c r="O596">
        <v>0</v>
      </c>
      <c r="P596">
        <v>13</v>
      </c>
      <c r="Q596" t="s">
        <v>42</v>
      </c>
      <c r="R596" t="s">
        <v>62</v>
      </c>
    </row>
    <row r="597" spans="1:18" x14ac:dyDescent="0.25">
      <c r="A597">
        <v>1596</v>
      </c>
      <c r="B597" t="s">
        <v>1198</v>
      </c>
      <c r="C597" t="s">
        <v>44</v>
      </c>
      <c r="D597" t="s">
        <v>45</v>
      </c>
      <c r="E597" t="s">
        <v>46</v>
      </c>
      <c r="F597" t="s">
        <v>40</v>
      </c>
      <c r="G597">
        <v>8.8000000000000007</v>
      </c>
      <c r="H597">
        <v>89561</v>
      </c>
      <c r="I597" t="s">
        <v>1199</v>
      </c>
      <c r="J597">
        <v>92.4</v>
      </c>
      <c r="K597">
        <v>27.9</v>
      </c>
      <c r="L597">
        <v>72.7</v>
      </c>
      <c r="M597">
        <v>113</v>
      </c>
      <c r="N597">
        <v>84</v>
      </c>
      <c r="O597">
        <v>5</v>
      </c>
      <c r="P597">
        <v>22</v>
      </c>
      <c r="Q597" t="s">
        <v>37</v>
      </c>
      <c r="R597" t="s">
        <v>57</v>
      </c>
    </row>
    <row r="598" spans="1:18" x14ac:dyDescent="0.25">
      <c r="A598">
        <v>1597</v>
      </c>
      <c r="B598" t="s">
        <v>1200</v>
      </c>
      <c r="C598" t="s">
        <v>49</v>
      </c>
      <c r="D598" t="s">
        <v>178</v>
      </c>
      <c r="E598" t="s">
        <v>60</v>
      </c>
      <c r="F598" t="s">
        <v>22</v>
      </c>
      <c r="G598">
        <v>6.6</v>
      </c>
      <c r="H598">
        <v>87161</v>
      </c>
      <c r="I598" t="s">
        <v>1201</v>
      </c>
      <c r="J598">
        <v>94.1</v>
      </c>
      <c r="K598">
        <v>7</v>
      </c>
      <c r="L598">
        <v>83.3</v>
      </c>
      <c r="M598">
        <v>35</v>
      </c>
      <c r="N598">
        <v>25</v>
      </c>
      <c r="O598">
        <v>1</v>
      </c>
      <c r="P598">
        <v>15</v>
      </c>
      <c r="Q598" t="s">
        <v>42</v>
      </c>
      <c r="R598" t="s">
        <v>25</v>
      </c>
    </row>
    <row r="599" spans="1:18" x14ac:dyDescent="0.25">
      <c r="A599">
        <v>1598</v>
      </c>
      <c r="B599" t="s">
        <v>1202</v>
      </c>
      <c r="C599" t="s">
        <v>49</v>
      </c>
      <c r="D599" t="s">
        <v>50</v>
      </c>
      <c r="E599" t="s">
        <v>51</v>
      </c>
      <c r="F599" t="s">
        <v>76</v>
      </c>
      <c r="G599">
        <v>1.9</v>
      </c>
      <c r="H599">
        <v>53215</v>
      </c>
      <c r="I599" t="s">
        <v>1203</v>
      </c>
      <c r="J599">
        <v>95.1</v>
      </c>
      <c r="K599">
        <v>2.4</v>
      </c>
      <c r="L599">
        <v>82.5</v>
      </c>
      <c r="M599">
        <v>51</v>
      </c>
      <c r="N599">
        <v>49</v>
      </c>
      <c r="O599">
        <v>3</v>
      </c>
      <c r="P599">
        <v>16</v>
      </c>
      <c r="Q599" t="s">
        <v>42</v>
      </c>
      <c r="R599" t="s">
        <v>25</v>
      </c>
    </row>
    <row r="600" spans="1:18" x14ac:dyDescent="0.25">
      <c r="A600">
        <v>1599</v>
      </c>
      <c r="B600" t="s">
        <v>1204</v>
      </c>
      <c r="C600" t="s">
        <v>19</v>
      </c>
      <c r="D600" t="s">
        <v>81</v>
      </c>
      <c r="E600" t="s">
        <v>39</v>
      </c>
      <c r="F600" t="s">
        <v>22</v>
      </c>
      <c r="G600">
        <v>1.7</v>
      </c>
      <c r="H600">
        <v>35062</v>
      </c>
      <c r="I600" t="s">
        <v>1205</v>
      </c>
      <c r="J600">
        <v>96.3</v>
      </c>
      <c r="K600">
        <v>23.2</v>
      </c>
      <c r="L600">
        <v>89.4</v>
      </c>
      <c r="M600">
        <v>56</v>
      </c>
      <c r="N600">
        <v>45</v>
      </c>
      <c r="O600">
        <v>3</v>
      </c>
      <c r="P600">
        <v>19</v>
      </c>
      <c r="Q600" t="s">
        <v>24</v>
      </c>
      <c r="R600" t="s">
        <v>25</v>
      </c>
    </row>
    <row r="601" spans="1:18" x14ac:dyDescent="0.25">
      <c r="A601">
        <v>1600</v>
      </c>
      <c r="B601" t="s">
        <v>1206</v>
      </c>
      <c r="C601" t="s">
        <v>44</v>
      </c>
      <c r="D601" t="s">
        <v>54</v>
      </c>
      <c r="E601" t="s">
        <v>46</v>
      </c>
      <c r="F601" t="s">
        <v>103</v>
      </c>
      <c r="G601">
        <v>0.2</v>
      </c>
      <c r="H601">
        <v>35488</v>
      </c>
      <c r="I601" t="s">
        <v>1207</v>
      </c>
      <c r="J601">
        <v>86.8</v>
      </c>
      <c r="K601">
        <v>12.9</v>
      </c>
      <c r="L601">
        <v>75.5</v>
      </c>
      <c r="M601">
        <v>108</v>
      </c>
      <c r="N601">
        <v>73</v>
      </c>
      <c r="O601">
        <v>3</v>
      </c>
      <c r="P601">
        <v>23</v>
      </c>
      <c r="Q601" t="s">
        <v>37</v>
      </c>
      <c r="R601" t="s">
        <v>57</v>
      </c>
    </row>
    <row r="602" spans="1:18" x14ac:dyDescent="0.25">
      <c r="A602">
        <v>1601</v>
      </c>
      <c r="B602" t="s">
        <v>1208</v>
      </c>
      <c r="C602" t="s">
        <v>27</v>
      </c>
      <c r="D602" t="s">
        <v>28</v>
      </c>
      <c r="E602" t="s">
        <v>118</v>
      </c>
      <c r="F602" t="s">
        <v>76</v>
      </c>
      <c r="G602">
        <v>4.5</v>
      </c>
      <c r="H602">
        <v>63535</v>
      </c>
      <c r="I602" t="s">
        <v>1209</v>
      </c>
      <c r="J602">
        <v>92</v>
      </c>
      <c r="K602">
        <v>7.8</v>
      </c>
      <c r="L602">
        <v>96.7</v>
      </c>
      <c r="M602">
        <v>106</v>
      </c>
      <c r="N602">
        <v>96</v>
      </c>
      <c r="O602">
        <v>0</v>
      </c>
      <c r="P602">
        <v>16</v>
      </c>
      <c r="Q602" t="s">
        <v>42</v>
      </c>
      <c r="R602" t="s">
        <v>62</v>
      </c>
    </row>
    <row r="603" spans="1:18" x14ac:dyDescent="0.25">
      <c r="A603">
        <v>1602</v>
      </c>
      <c r="B603" t="s">
        <v>1210</v>
      </c>
      <c r="C603" t="s">
        <v>32</v>
      </c>
      <c r="D603" t="s">
        <v>33</v>
      </c>
      <c r="E603" t="s">
        <v>128</v>
      </c>
      <c r="F603" t="s">
        <v>103</v>
      </c>
      <c r="G603">
        <v>0.2</v>
      </c>
      <c r="H603">
        <v>32560</v>
      </c>
      <c r="I603" t="s">
        <v>1211</v>
      </c>
      <c r="J603">
        <v>90.5</v>
      </c>
      <c r="K603">
        <v>30.8</v>
      </c>
      <c r="L603">
        <v>76</v>
      </c>
      <c r="M603">
        <v>118</v>
      </c>
      <c r="N603">
        <v>79</v>
      </c>
      <c r="O603">
        <v>4</v>
      </c>
      <c r="P603">
        <v>13</v>
      </c>
      <c r="Q603" t="s">
        <v>37</v>
      </c>
      <c r="R603" t="s">
        <v>57</v>
      </c>
    </row>
    <row r="604" spans="1:18" x14ac:dyDescent="0.25">
      <c r="A604">
        <v>1603</v>
      </c>
      <c r="B604" t="s">
        <v>1212</v>
      </c>
      <c r="C604" t="s">
        <v>49</v>
      </c>
      <c r="D604" t="s">
        <v>178</v>
      </c>
      <c r="E604" t="s">
        <v>51</v>
      </c>
      <c r="F604" t="s">
        <v>103</v>
      </c>
      <c r="G604">
        <v>2.2999999999999998</v>
      </c>
      <c r="H604">
        <v>60304</v>
      </c>
      <c r="I604" t="s">
        <v>277</v>
      </c>
      <c r="J604">
        <v>94.9</v>
      </c>
      <c r="K604">
        <v>0</v>
      </c>
      <c r="L604">
        <v>85.2</v>
      </c>
      <c r="M604">
        <v>85</v>
      </c>
      <c r="N604">
        <v>66</v>
      </c>
      <c r="O604">
        <v>1</v>
      </c>
      <c r="P604">
        <v>18</v>
      </c>
      <c r="Q604" t="s">
        <v>42</v>
      </c>
      <c r="R604" t="s">
        <v>25</v>
      </c>
    </row>
    <row r="605" spans="1:18" x14ac:dyDescent="0.25">
      <c r="A605">
        <v>1604</v>
      </c>
      <c r="B605" t="s">
        <v>1213</v>
      </c>
      <c r="C605" t="s">
        <v>27</v>
      </c>
      <c r="D605" t="s">
        <v>64</v>
      </c>
      <c r="E605" t="s">
        <v>29</v>
      </c>
      <c r="F605" t="s">
        <v>103</v>
      </c>
      <c r="G605">
        <v>7.5</v>
      </c>
      <c r="H605">
        <v>84949</v>
      </c>
      <c r="I605" t="s">
        <v>1214</v>
      </c>
      <c r="J605">
        <v>94.6</v>
      </c>
      <c r="K605">
        <v>13</v>
      </c>
      <c r="L605">
        <v>92</v>
      </c>
      <c r="M605">
        <v>96</v>
      </c>
      <c r="N605">
        <v>94</v>
      </c>
      <c r="O605">
        <v>5</v>
      </c>
      <c r="P605">
        <v>7</v>
      </c>
      <c r="Q605" t="s">
        <v>42</v>
      </c>
      <c r="R605" t="s">
        <v>62</v>
      </c>
    </row>
    <row r="606" spans="1:18" x14ac:dyDescent="0.25">
      <c r="A606">
        <v>1605</v>
      </c>
      <c r="B606" t="s">
        <v>1215</v>
      </c>
      <c r="C606" t="s">
        <v>32</v>
      </c>
      <c r="D606" t="s">
        <v>67</v>
      </c>
      <c r="E606" t="s">
        <v>128</v>
      </c>
      <c r="F606" t="s">
        <v>103</v>
      </c>
      <c r="G606">
        <v>4.8</v>
      </c>
      <c r="H606">
        <v>52835</v>
      </c>
      <c r="I606" t="s">
        <v>1216</v>
      </c>
      <c r="J606">
        <v>89.4</v>
      </c>
      <c r="K606">
        <v>28.4</v>
      </c>
      <c r="L606">
        <v>77.3</v>
      </c>
      <c r="M606">
        <v>107</v>
      </c>
      <c r="N606">
        <v>79</v>
      </c>
      <c r="O606">
        <v>7</v>
      </c>
      <c r="P606">
        <v>11</v>
      </c>
      <c r="Q606" t="s">
        <v>37</v>
      </c>
      <c r="R606" t="s">
        <v>57</v>
      </c>
    </row>
    <row r="607" spans="1:18" x14ac:dyDescent="0.25">
      <c r="A607">
        <v>1606</v>
      </c>
      <c r="B607" t="s">
        <v>1217</v>
      </c>
      <c r="C607" t="s">
        <v>44</v>
      </c>
      <c r="D607" t="s">
        <v>54</v>
      </c>
      <c r="E607" t="s">
        <v>97</v>
      </c>
      <c r="F607" t="s">
        <v>35</v>
      </c>
      <c r="G607">
        <v>6.4</v>
      </c>
      <c r="H607">
        <v>78342</v>
      </c>
      <c r="I607" t="s">
        <v>1218</v>
      </c>
      <c r="J607">
        <v>85.2</v>
      </c>
      <c r="K607">
        <v>30.6</v>
      </c>
      <c r="L607">
        <v>74.2</v>
      </c>
      <c r="M607">
        <v>95</v>
      </c>
      <c r="N607">
        <v>74</v>
      </c>
      <c r="O607">
        <v>5</v>
      </c>
      <c r="P607">
        <v>24</v>
      </c>
      <c r="Q607" t="s">
        <v>37</v>
      </c>
      <c r="R607" t="s">
        <v>57</v>
      </c>
    </row>
    <row r="608" spans="1:18" x14ac:dyDescent="0.25">
      <c r="A608">
        <v>1607</v>
      </c>
      <c r="B608" t="s">
        <v>1219</v>
      </c>
      <c r="C608" t="s">
        <v>44</v>
      </c>
      <c r="D608" t="s">
        <v>70</v>
      </c>
      <c r="E608" t="s">
        <v>97</v>
      </c>
      <c r="F608" t="s">
        <v>103</v>
      </c>
      <c r="G608">
        <v>2.4</v>
      </c>
      <c r="H608">
        <v>56390</v>
      </c>
      <c r="I608" t="s">
        <v>1164</v>
      </c>
      <c r="J608">
        <v>92.6</v>
      </c>
      <c r="K608">
        <v>21.9</v>
      </c>
      <c r="L608">
        <v>83</v>
      </c>
      <c r="M608">
        <v>89</v>
      </c>
      <c r="N608">
        <v>80</v>
      </c>
      <c r="O608">
        <v>2</v>
      </c>
      <c r="P608">
        <v>17</v>
      </c>
      <c r="Q608" t="s">
        <v>37</v>
      </c>
      <c r="R608" t="s">
        <v>25</v>
      </c>
    </row>
    <row r="609" spans="1:18" x14ac:dyDescent="0.25">
      <c r="A609">
        <v>1608</v>
      </c>
      <c r="B609" t="s">
        <v>1220</v>
      </c>
      <c r="C609" t="s">
        <v>44</v>
      </c>
      <c r="D609" t="s">
        <v>70</v>
      </c>
      <c r="E609" t="s">
        <v>97</v>
      </c>
      <c r="F609" t="s">
        <v>35</v>
      </c>
      <c r="G609">
        <v>7.3</v>
      </c>
      <c r="H609">
        <v>84408</v>
      </c>
      <c r="I609" t="s">
        <v>1221</v>
      </c>
      <c r="J609">
        <v>91.3</v>
      </c>
      <c r="K609">
        <v>13.7</v>
      </c>
      <c r="L609">
        <v>86.9</v>
      </c>
      <c r="M609">
        <v>87</v>
      </c>
      <c r="N609">
        <v>82</v>
      </c>
      <c r="O609">
        <v>2</v>
      </c>
      <c r="P609">
        <v>31</v>
      </c>
      <c r="Q609" t="s">
        <v>24</v>
      </c>
      <c r="R609" t="s">
        <v>25</v>
      </c>
    </row>
    <row r="610" spans="1:18" x14ac:dyDescent="0.25">
      <c r="A610">
        <v>1609</v>
      </c>
      <c r="B610" t="s">
        <v>1222</v>
      </c>
      <c r="C610" t="s">
        <v>32</v>
      </c>
      <c r="D610" t="s">
        <v>67</v>
      </c>
      <c r="E610" t="s">
        <v>94</v>
      </c>
      <c r="F610" t="s">
        <v>103</v>
      </c>
      <c r="G610">
        <v>1.2</v>
      </c>
      <c r="H610">
        <v>42673</v>
      </c>
      <c r="I610" t="s">
        <v>1223</v>
      </c>
      <c r="J610">
        <v>91</v>
      </c>
      <c r="K610">
        <v>29.7</v>
      </c>
      <c r="L610">
        <v>76.900000000000006</v>
      </c>
      <c r="M610">
        <v>78</v>
      </c>
      <c r="N610">
        <v>63</v>
      </c>
      <c r="O610">
        <v>4</v>
      </c>
      <c r="P610">
        <v>10</v>
      </c>
      <c r="Q610" t="s">
        <v>37</v>
      </c>
      <c r="R610" t="s">
        <v>57</v>
      </c>
    </row>
    <row r="611" spans="1:18" x14ac:dyDescent="0.25">
      <c r="A611">
        <v>1610</v>
      </c>
      <c r="B611" t="s">
        <v>1224</v>
      </c>
      <c r="C611" t="s">
        <v>89</v>
      </c>
      <c r="D611" t="s">
        <v>90</v>
      </c>
      <c r="E611" t="s">
        <v>91</v>
      </c>
      <c r="F611" t="s">
        <v>103</v>
      </c>
      <c r="G611">
        <v>6.4</v>
      </c>
      <c r="H611">
        <v>87238</v>
      </c>
      <c r="I611" t="s">
        <v>1225</v>
      </c>
      <c r="J611">
        <v>93</v>
      </c>
      <c r="K611">
        <v>5</v>
      </c>
      <c r="L611">
        <v>91.6</v>
      </c>
      <c r="M611">
        <v>69</v>
      </c>
      <c r="N611">
        <v>59</v>
      </c>
      <c r="O611">
        <v>0</v>
      </c>
      <c r="P611">
        <v>16</v>
      </c>
      <c r="Q611" t="s">
        <v>42</v>
      </c>
      <c r="R611" t="s">
        <v>62</v>
      </c>
    </row>
    <row r="612" spans="1:18" x14ac:dyDescent="0.25">
      <c r="A612">
        <v>1611</v>
      </c>
      <c r="B612" t="s">
        <v>1226</v>
      </c>
      <c r="C612" t="s">
        <v>89</v>
      </c>
      <c r="D612" t="s">
        <v>90</v>
      </c>
      <c r="E612" t="s">
        <v>91</v>
      </c>
      <c r="F612" t="s">
        <v>76</v>
      </c>
      <c r="G612">
        <v>6.8</v>
      </c>
      <c r="H612">
        <v>77888</v>
      </c>
      <c r="I612" t="s">
        <v>1227</v>
      </c>
      <c r="J612">
        <v>90.8</v>
      </c>
      <c r="K612">
        <v>20.399999999999999</v>
      </c>
      <c r="L612">
        <v>89.3</v>
      </c>
      <c r="M612">
        <v>68</v>
      </c>
      <c r="N612">
        <v>55</v>
      </c>
      <c r="O612">
        <v>5</v>
      </c>
      <c r="P612">
        <v>16</v>
      </c>
      <c r="Q612" t="s">
        <v>42</v>
      </c>
      <c r="R612" t="s">
        <v>25</v>
      </c>
    </row>
    <row r="613" spans="1:18" x14ac:dyDescent="0.25">
      <c r="A613">
        <v>1612</v>
      </c>
      <c r="B613" t="s">
        <v>1228</v>
      </c>
      <c r="C613" t="s">
        <v>44</v>
      </c>
      <c r="D613" t="s">
        <v>54</v>
      </c>
      <c r="E613" t="s">
        <v>97</v>
      </c>
      <c r="F613" t="s">
        <v>35</v>
      </c>
      <c r="G613">
        <v>6.9</v>
      </c>
      <c r="H613">
        <v>72098</v>
      </c>
      <c r="I613" t="s">
        <v>1229</v>
      </c>
      <c r="J613">
        <v>96.8</v>
      </c>
      <c r="K613">
        <v>22.3</v>
      </c>
      <c r="L613">
        <v>77.3</v>
      </c>
      <c r="M613">
        <v>99</v>
      </c>
      <c r="N613">
        <v>85</v>
      </c>
      <c r="O613">
        <v>2</v>
      </c>
      <c r="P613">
        <v>22</v>
      </c>
      <c r="Q613" t="s">
        <v>37</v>
      </c>
      <c r="R613" t="s">
        <v>57</v>
      </c>
    </row>
    <row r="614" spans="1:18" x14ac:dyDescent="0.25">
      <c r="A614">
        <v>1613</v>
      </c>
      <c r="B614" t="s">
        <v>1230</v>
      </c>
      <c r="C614" t="s">
        <v>44</v>
      </c>
      <c r="D614" t="s">
        <v>70</v>
      </c>
      <c r="E614" t="s">
        <v>97</v>
      </c>
      <c r="F614" t="s">
        <v>103</v>
      </c>
      <c r="G614">
        <v>7.4</v>
      </c>
      <c r="H614">
        <v>74948</v>
      </c>
      <c r="I614" t="s">
        <v>1231</v>
      </c>
      <c r="J614">
        <v>93.4</v>
      </c>
      <c r="K614">
        <v>38.1</v>
      </c>
      <c r="L614">
        <v>71.400000000000006</v>
      </c>
      <c r="M614">
        <v>121</v>
      </c>
      <c r="N614">
        <v>91</v>
      </c>
      <c r="O614">
        <v>2</v>
      </c>
      <c r="P614">
        <v>13</v>
      </c>
      <c r="Q614" t="s">
        <v>37</v>
      </c>
      <c r="R614" t="s">
        <v>57</v>
      </c>
    </row>
    <row r="615" spans="1:18" x14ac:dyDescent="0.25">
      <c r="A615">
        <v>1614</v>
      </c>
      <c r="B615" t="s">
        <v>1232</v>
      </c>
      <c r="C615" t="s">
        <v>19</v>
      </c>
      <c r="D615" t="s">
        <v>81</v>
      </c>
      <c r="E615" t="s">
        <v>39</v>
      </c>
      <c r="F615" t="s">
        <v>86</v>
      </c>
      <c r="G615">
        <v>1.7</v>
      </c>
      <c r="H615">
        <v>58101</v>
      </c>
      <c r="I615" t="s">
        <v>1233</v>
      </c>
      <c r="J615">
        <v>85.3</v>
      </c>
      <c r="K615">
        <v>15.6</v>
      </c>
      <c r="L615">
        <v>80.400000000000006</v>
      </c>
      <c r="M615">
        <v>96</v>
      </c>
      <c r="N615">
        <v>76</v>
      </c>
      <c r="O615">
        <v>5</v>
      </c>
      <c r="P615">
        <v>16</v>
      </c>
      <c r="Q615" t="s">
        <v>24</v>
      </c>
      <c r="R615" t="s">
        <v>25</v>
      </c>
    </row>
    <row r="616" spans="1:18" x14ac:dyDescent="0.25">
      <c r="A616">
        <v>1615</v>
      </c>
      <c r="B616" t="s">
        <v>1234</v>
      </c>
      <c r="C616" t="s">
        <v>19</v>
      </c>
      <c r="D616" t="s">
        <v>20</v>
      </c>
      <c r="E616" t="s">
        <v>21</v>
      </c>
      <c r="F616" t="s">
        <v>103</v>
      </c>
      <c r="G616">
        <v>6.8</v>
      </c>
      <c r="H616">
        <v>82915</v>
      </c>
      <c r="I616" t="s">
        <v>529</v>
      </c>
      <c r="J616">
        <v>92.5</v>
      </c>
      <c r="K616">
        <v>17.5</v>
      </c>
      <c r="L616">
        <v>88.4</v>
      </c>
      <c r="M616">
        <v>97</v>
      </c>
      <c r="N616">
        <v>92</v>
      </c>
      <c r="O616">
        <v>3</v>
      </c>
      <c r="P616">
        <v>14</v>
      </c>
      <c r="Q616" t="s">
        <v>24</v>
      </c>
      <c r="R616" t="s">
        <v>25</v>
      </c>
    </row>
    <row r="617" spans="1:18" x14ac:dyDescent="0.25">
      <c r="A617">
        <v>1616</v>
      </c>
      <c r="B617" t="s">
        <v>1235</v>
      </c>
      <c r="C617" t="s">
        <v>27</v>
      </c>
      <c r="D617" t="s">
        <v>64</v>
      </c>
      <c r="E617" t="s">
        <v>118</v>
      </c>
      <c r="F617" t="s">
        <v>103</v>
      </c>
      <c r="G617">
        <v>6.7</v>
      </c>
      <c r="H617">
        <v>84015</v>
      </c>
      <c r="I617" t="s">
        <v>1236</v>
      </c>
      <c r="J617">
        <v>100</v>
      </c>
      <c r="K617">
        <v>7.9</v>
      </c>
      <c r="L617">
        <v>89.1</v>
      </c>
      <c r="M617">
        <v>52</v>
      </c>
      <c r="N617">
        <v>43</v>
      </c>
      <c r="O617">
        <v>1</v>
      </c>
      <c r="P617">
        <v>13</v>
      </c>
      <c r="Q617" t="s">
        <v>42</v>
      </c>
      <c r="R617" t="s">
        <v>25</v>
      </c>
    </row>
    <row r="618" spans="1:18" x14ac:dyDescent="0.25">
      <c r="A618">
        <v>1617</v>
      </c>
      <c r="B618" t="s">
        <v>1237</v>
      </c>
      <c r="C618" t="s">
        <v>19</v>
      </c>
      <c r="D618" t="s">
        <v>137</v>
      </c>
      <c r="E618" t="s">
        <v>82</v>
      </c>
      <c r="F618" t="s">
        <v>35</v>
      </c>
      <c r="G618">
        <v>6.4</v>
      </c>
      <c r="H618">
        <v>79423</v>
      </c>
      <c r="I618" t="s">
        <v>1238</v>
      </c>
      <c r="J618">
        <v>92.2</v>
      </c>
      <c r="K618">
        <v>29</v>
      </c>
      <c r="L618">
        <v>76</v>
      </c>
      <c r="M618">
        <v>102</v>
      </c>
      <c r="N618">
        <v>73</v>
      </c>
      <c r="O618">
        <v>4</v>
      </c>
      <c r="P618">
        <v>11</v>
      </c>
      <c r="Q618" t="s">
        <v>37</v>
      </c>
      <c r="R618" t="s">
        <v>57</v>
      </c>
    </row>
    <row r="619" spans="1:18" x14ac:dyDescent="0.25">
      <c r="A619">
        <v>1618</v>
      </c>
      <c r="B619" t="s">
        <v>1239</v>
      </c>
      <c r="C619" t="s">
        <v>32</v>
      </c>
      <c r="D619" t="s">
        <v>106</v>
      </c>
      <c r="E619" t="s">
        <v>128</v>
      </c>
      <c r="F619" t="s">
        <v>22</v>
      </c>
      <c r="G619">
        <v>4.5999999999999996</v>
      </c>
      <c r="H619">
        <v>57609</v>
      </c>
      <c r="I619" t="s">
        <v>1240</v>
      </c>
      <c r="J619">
        <v>88.7</v>
      </c>
      <c r="K619">
        <v>24.5</v>
      </c>
      <c r="L619">
        <v>94.5</v>
      </c>
      <c r="M619">
        <v>102</v>
      </c>
      <c r="N619">
        <v>98</v>
      </c>
      <c r="O619">
        <v>0</v>
      </c>
      <c r="P619">
        <v>21</v>
      </c>
      <c r="Q619" t="s">
        <v>37</v>
      </c>
      <c r="R619" t="s">
        <v>62</v>
      </c>
    </row>
    <row r="620" spans="1:18" x14ac:dyDescent="0.25">
      <c r="A620">
        <v>1619</v>
      </c>
      <c r="B620" t="s">
        <v>1241</v>
      </c>
      <c r="C620" t="s">
        <v>44</v>
      </c>
      <c r="D620" t="s">
        <v>45</v>
      </c>
      <c r="E620" t="s">
        <v>97</v>
      </c>
      <c r="F620" t="s">
        <v>35</v>
      </c>
      <c r="G620">
        <v>4.0999999999999996</v>
      </c>
      <c r="H620">
        <v>63011</v>
      </c>
      <c r="I620" t="s">
        <v>1190</v>
      </c>
      <c r="J620">
        <v>95.9</v>
      </c>
      <c r="K620">
        <v>28.1</v>
      </c>
      <c r="L620">
        <v>76</v>
      </c>
      <c r="M620">
        <v>112</v>
      </c>
      <c r="N620">
        <v>86</v>
      </c>
      <c r="O620">
        <v>2</v>
      </c>
      <c r="P620">
        <v>18</v>
      </c>
      <c r="Q620" t="s">
        <v>37</v>
      </c>
      <c r="R620" t="s">
        <v>57</v>
      </c>
    </row>
    <row r="621" spans="1:18" x14ac:dyDescent="0.25">
      <c r="A621">
        <v>1620</v>
      </c>
      <c r="B621" t="s">
        <v>1242</v>
      </c>
      <c r="C621" t="s">
        <v>19</v>
      </c>
      <c r="D621" t="s">
        <v>81</v>
      </c>
      <c r="E621" t="s">
        <v>39</v>
      </c>
      <c r="F621" t="s">
        <v>86</v>
      </c>
      <c r="G621">
        <v>4.7</v>
      </c>
      <c r="H621">
        <v>58570</v>
      </c>
      <c r="I621" t="s">
        <v>1243</v>
      </c>
      <c r="J621">
        <v>99.2</v>
      </c>
      <c r="K621">
        <v>20.2</v>
      </c>
      <c r="L621">
        <v>85</v>
      </c>
      <c r="M621">
        <v>87</v>
      </c>
      <c r="N621">
        <v>77</v>
      </c>
      <c r="O621">
        <v>2</v>
      </c>
      <c r="P621">
        <v>10</v>
      </c>
      <c r="Q621" t="s">
        <v>24</v>
      </c>
      <c r="R621" t="s">
        <v>25</v>
      </c>
    </row>
    <row r="622" spans="1:18" x14ac:dyDescent="0.25">
      <c r="A622">
        <v>1621</v>
      </c>
      <c r="B622" t="s">
        <v>1244</v>
      </c>
      <c r="C622" t="s">
        <v>89</v>
      </c>
      <c r="D622" t="s">
        <v>102</v>
      </c>
      <c r="E622" t="s">
        <v>152</v>
      </c>
      <c r="F622" t="s">
        <v>103</v>
      </c>
      <c r="G622">
        <v>5.3</v>
      </c>
      <c r="H622">
        <v>69568</v>
      </c>
      <c r="I622" t="s">
        <v>150</v>
      </c>
      <c r="J622">
        <v>89.1</v>
      </c>
      <c r="K622">
        <v>32.299999999999997</v>
      </c>
      <c r="L622">
        <v>93.6</v>
      </c>
      <c r="M622">
        <v>82</v>
      </c>
      <c r="N622">
        <v>76</v>
      </c>
      <c r="O622">
        <v>5</v>
      </c>
      <c r="P622">
        <v>16</v>
      </c>
      <c r="Q622" t="s">
        <v>24</v>
      </c>
      <c r="R622" t="s">
        <v>62</v>
      </c>
    </row>
    <row r="623" spans="1:18" x14ac:dyDescent="0.25">
      <c r="A623">
        <v>1622</v>
      </c>
      <c r="B623" t="s">
        <v>1245</v>
      </c>
      <c r="C623" t="s">
        <v>89</v>
      </c>
      <c r="D623" t="s">
        <v>102</v>
      </c>
      <c r="E623" t="s">
        <v>111</v>
      </c>
      <c r="F623" t="s">
        <v>35</v>
      </c>
      <c r="G623">
        <v>2.2999999999999998</v>
      </c>
      <c r="H623">
        <v>50869</v>
      </c>
      <c r="I623" t="s">
        <v>1246</v>
      </c>
      <c r="J623">
        <v>92.7</v>
      </c>
      <c r="K623">
        <v>7.5</v>
      </c>
      <c r="L623">
        <v>92.3</v>
      </c>
      <c r="M623">
        <v>58</v>
      </c>
      <c r="N623">
        <v>52</v>
      </c>
      <c r="O623">
        <v>0</v>
      </c>
      <c r="P623">
        <v>10</v>
      </c>
      <c r="Q623" t="s">
        <v>42</v>
      </c>
      <c r="R623" t="s">
        <v>62</v>
      </c>
    </row>
    <row r="624" spans="1:18" x14ac:dyDescent="0.25">
      <c r="A624">
        <v>1623</v>
      </c>
      <c r="B624" t="s">
        <v>1247</v>
      </c>
      <c r="C624" t="s">
        <v>19</v>
      </c>
      <c r="D624" t="s">
        <v>137</v>
      </c>
      <c r="E624" t="s">
        <v>82</v>
      </c>
      <c r="F624" t="s">
        <v>22</v>
      </c>
      <c r="G624">
        <v>0.2</v>
      </c>
      <c r="H624">
        <v>35388</v>
      </c>
      <c r="I624" t="s">
        <v>1248</v>
      </c>
      <c r="J624">
        <v>97.1</v>
      </c>
      <c r="K624">
        <v>19.399999999999999</v>
      </c>
      <c r="L624">
        <v>86.6</v>
      </c>
      <c r="M624">
        <v>101</v>
      </c>
      <c r="N624">
        <v>75</v>
      </c>
      <c r="O624">
        <v>3</v>
      </c>
      <c r="P624">
        <v>12</v>
      </c>
      <c r="Q624" t="s">
        <v>42</v>
      </c>
      <c r="R624" t="s">
        <v>25</v>
      </c>
    </row>
    <row r="625" spans="1:18" x14ac:dyDescent="0.25">
      <c r="A625">
        <v>1624</v>
      </c>
      <c r="B625" t="s">
        <v>1249</v>
      </c>
      <c r="C625" t="s">
        <v>49</v>
      </c>
      <c r="D625" t="s">
        <v>59</v>
      </c>
      <c r="E625" t="s">
        <v>60</v>
      </c>
      <c r="F625" t="s">
        <v>22</v>
      </c>
      <c r="G625">
        <v>4.0999999999999996</v>
      </c>
      <c r="H625">
        <v>65822</v>
      </c>
      <c r="I625" t="s">
        <v>1250</v>
      </c>
      <c r="J625">
        <v>93.5</v>
      </c>
      <c r="K625">
        <v>8.9</v>
      </c>
      <c r="L625">
        <v>85.2</v>
      </c>
      <c r="M625">
        <v>63</v>
      </c>
      <c r="N625">
        <v>55</v>
      </c>
      <c r="O625">
        <v>3</v>
      </c>
      <c r="P625">
        <v>13</v>
      </c>
      <c r="Q625" t="s">
        <v>42</v>
      </c>
      <c r="R625" t="s">
        <v>25</v>
      </c>
    </row>
    <row r="626" spans="1:18" x14ac:dyDescent="0.25">
      <c r="A626">
        <v>1625</v>
      </c>
      <c r="B626" t="s">
        <v>1251</v>
      </c>
      <c r="C626" t="s">
        <v>19</v>
      </c>
      <c r="D626" t="s">
        <v>20</v>
      </c>
      <c r="E626" t="s">
        <v>21</v>
      </c>
      <c r="F626" t="s">
        <v>86</v>
      </c>
      <c r="G626">
        <v>3.9</v>
      </c>
      <c r="H626">
        <v>64634</v>
      </c>
      <c r="I626" t="s">
        <v>1252</v>
      </c>
      <c r="J626">
        <v>92</v>
      </c>
      <c r="K626">
        <v>33.9</v>
      </c>
      <c r="L626">
        <v>76.7</v>
      </c>
      <c r="M626">
        <v>120</v>
      </c>
      <c r="N626">
        <v>77</v>
      </c>
      <c r="O626">
        <v>3</v>
      </c>
      <c r="P626">
        <v>13</v>
      </c>
      <c r="Q626" t="s">
        <v>37</v>
      </c>
      <c r="R626" t="s">
        <v>57</v>
      </c>
    </row>
    <row r="627" spans="1:18" x14ac:dyDescent="0.25">
      <c r="A627">
        <v>1626</v>
      </c>
      <c r="B627" t="s">
        <v>1253</v>
      </c>
      <c r="C627" t="s">
        <v>44</v>
      </c>
      <c r="D627" t="s">
        <v>45</v>
      </c>
      <c r="E627" t="s">
        <v>46</v>
      </c>
      <c r="F627" t="s">
        <v>22</v>
      </c>
      <c r="G627">
        <v>2.2999999999999998</v>
      </c>
      <c r="H627">
        <v>47366</v>
      </c>
      <c r="I627" t="s">
        <v>1254</v>
      </c>
      <c r="J627">
        <v>90.2</v>
      </c>
      <c r="K627">
        <v>20.9</v>
      </c>
      <c r="L627">
        <v>71.599999999999994</v>
      </c>
      <c r="M627">
        <v>103</v>
      </c>
      <c r="N627">
        <v>68</v>
      </c>
      <c r="O627">
        <v>5</v>
      </c>
      <c r="P627">
        <v>15</v>
      </c>
      <c r="Q627" t="s">
        <v>37</v>
      </c>
      <c r="R627" t="s">
        <v>57</v>
      </c>
    </row>
    <row r="628" spans="1:18" x14ac:dyDescent="0.25">
      <c r="A628">
        <v>1627</v>
      </c>
      <c r="B628" t="s">
        <v>1255</v>
      </c>
      <c r="C628" t="s">
        <v>27</v>
      </c>
      <c r="D628" t="s">
        <v>75</v>
      </c>
      <c r="E628" t="s">
        <v>29</v>
      </c>
      <c r="F628" t="s">
        <v>103</v>
      </c>
      <c r="G628">
        <v>1.1000000000000001</v>
      </c>
      <c r="H628">
        <v>40337</v>
      </c>
      <c r="I628" t="s">
        <v>1256</v>
      </c>
      <c r="J628">
        <v>88.6</v>
      </c>
      <c r="K628">
        <v>13.5</v>
      </c>
      <c r="L628">
        <v>87.4</v>
      </c>
      <c r="M628">
        <v>82</v>
      </c>
      <c r="N628">
        <v>77</v>
      </c>
      <c r="O628">
        <v>0</v>
      </c>
      <c r="P628">
        <v>21</v>
      </c>
      <c r="Q628" t="s">
        <v>42</v>
      </c>
      <c r="R628" t="s">
        <v>25</v>
      </c>
    </row>
    <row r="629" spans="1:18" x14ac:dyDescent="0.25">
      <c r="A629">
        <v>1628</v>
      </c>
      <c r="B629" t="s">
        <v>1257</v>
      </c>
      <c r="C629" t="s">
        <v>27</v>
      </c>
      <c r="D629" t="s">
        <v>75</v>
      </c>
      <c r="E629" t="s">
        <v>29</v>
      </c>
      <c r="F629" t="s">
        <v>22</v>
      </c>
      <c r="G629">
        <v>2.8</v>
      </c>
      <c r="H629">
        <v>58100</v>
      </c>
      <c r="I629" t="s">
        <v>1258</v>
      </c>
      <c r="J629">
        <v>94.1</v>
      </c>
      <c r="K629">
        <v>13.3</v>
      </c>
      <c r="L629">
        <v>88.9</v>
      </c>
      <c r="M629">
        <v>109</v>
      </c>
      <c r="N629">
        <v>85</v>
      </c>
      <c r="O629">
        <v>5</v>
      </c>
      <c r="P629">
        <v>14</v>
      </c>
      <c r="Q629" t="s">
        <v>24</v>
      </c>
      <c r="R629" t="s">
        <v>25</v>
      </c>
    </row>
    <row r="630" spans="1:18" x14ac:dyDescent="0.25">
      <c r="A630">
        <v>1629</v>
      </c>
      <c r="B630" t="s">
        <v>1259</v>
      </c>
      <c r="C630" t="s">
        <v>32</v>
      </c>
      <c r="D630" t="s">
        <v>33</v>
      </c>
      <c r="E630" t="s">
        <v>128</v>
      </c>
      <c r="F630" t="s">
        <v>22</v>
      </c>
      <c r="G630">
        <v>8.9</v>
      </c>
      <c r="H630">
        <v>105736</v>
      </c>
      <c r="I630" t="s">
        <v>1260</v>
      </c>
      <c r="J630">
        <v>95.6</v>
      </c>
      <c r="K630">
        <v>19</v>
      </c>
      <c r="L630">
        <v>86.1</v>
      </c>
      <c r="M630">
        <v>70</v>
      </c>
      <c r="N630">
        <v>62</v>
      </c>
      <c r="O630">
        <v>1</v>
      </c>
      <c r="P630">
        <v>12</v>
      </c>
      <c r="Q630" t="s">
        <v>42</v>
      </c>
      <c r="R630" t="s">
        <v>25</v>
      </c>
    </row>
    <row r="631" spans="1:18" x14ac:dyDescent="0.25">
      <c r="A631">
        <v>1630</v>
      </c>
      <c r="B631" t="s">
        <v>1261</v>
      </c>
      <c r="C631" t="s">
        <v>27</v>
      </c>
      <c r="D631" t="s">
        <v>75</v>
      </c>
      <c r="E631" t="s">
        <v>29</v>
      </c>
      <c r="F631" t="s">
        <v>103</v>
      </c>
      <c r="G631">
        <v>0.7</v>
      </c>
      <c r="H631">
        <v>34049</v>
      </c>
      <c r="I631" t="s">
        <v>1262</v>
      </c>
      <c r="J631">
        <v>89.8</v>
      </c>
      <c r="K631">
        <v>11</v>
      </c>
      <c r="L631">
        <v>86.6</v>
      </c>
      <c r="M631">
        <v>77</v>
      </c>
      <c r="N631">
        <v>70</v>
      </c>
      <c r="O631">
        <v>1</v>
      </c>
      <c r="P631">
        <v>5</v>
      </c>
      <c r="Q631" t="s">
        <v>42</v>
      </c>
      <c r="R631" t="s">
        <v>25</v>
      </c>
    </row>
    <row r="632" spans="1:18" x14ac:dyDescent="0.25">
      <c r="A632">
        <v>1631</v>
      </c>
      <c r="B632" t="s">
        <v>1263</v>
      </c>
      <c r="C632" t="s">
        <v>49</v>
      </c>
      <c r="D632" t="s">
        <v>50</v>
      </c>
      <c r="E632" t="s">
        <v>163</v>
      </c>
      <c r="F632" t="s">
        <v>22</v>
      </c>
      <c r="G632">
        <v>0.2</v>
      </c>
      <c r="H632">
        <v>39402</v>
      </c>
      <c r="I632" t="s">
        <v>1264</v>
      </c>
      <c r="J632">
        <v>92.9</v>
      </c>
      <c r="K632">
        <v>2.2000000000000002</v>
      </c>
      <c r="L632">
        <v>92.1</v>
      </c>
      <c r="M632">
        <v>59</v>
      </c>
      <c r="N632">
        <v>52</v>
      </c>
      <c r="O632">
        <v>0</v>
      </c>
      <c r="P632">
        <v>5</v>
      </c>
      <c r="Q632" t="s">
        <v>42</v>
      </c>
      <c r="R632" t="s">
        <v>62</v>
      </c>
    </row>
    <row r="633" spans="1:18" x14ac:dyDescent="0.25">
      <c r="A633">
        <v>1632</v>
      </c>
      <c r="B633" t="s">
        <v>1265</v>
      </c>
      <c r="C633" t="s">
        <v>89</v>
      </c>
      <c r="D633" t="s">
        <v>121</v>
      </c>
      <c r="E633" t="s">
        <v>111</v>
      </c>
      <c r="F633" t="s">
        <v>76</v>
      </c>
      <c r="G633">
        <v>6.6</v>
      </c>
      <c r="H633">
        <v>81509</v>
      </c>
      <c r="I633" t="s">
        <v>1266</v>
      </c>
      <c r="J633">
        <v>92.7</v>
      </c>
      <c r="K633">
        <v>6.5</v>
      </c>
      <c r="L633">
        <v>86.8</v>
      </c>
      <c r="M633">
        <v>82</v>
      </c>
      <c r="N633">
        <v>65</v>
      </c>
      <c r="O633">
        <v>1</v>
      </c>
      <c r="P633">
        <v>24</v>
      </c>
      <c r="Q633" t="s">
        <v>42</v>
      </c>
      <c r="R633" t="s">
        <v>25</v>
      </c>
    </row>
    <row r="634" spans="1:18" x14ac:dyDescent="0.25">
      <c r="A634">
        <v>1633</v>
      </c>
      <c r="B634" t="s">
        <v>1267</v>
      </c>
      <c r="C634" t="s">
        <v>19</v>
      </c>
      <c r="D634" t="s">
        <v>81</v>
      </c>
      <c r="E634" t="s">
        <v>82</v>
      </c>
      <c r="F634" t="s">
        <v>86</v>
      </c>
      <c r="G634">
        <v>3.2</v>
      </c>
      <c r="H634">
        <v>55713</v>
      </c>
      <c r="I634" t="s">
        <v>1268</v>
      </c>
      <c r="J634">
        <v>94.1</v>
      </c>
      <c r="K634">
        <v>31.8</v>
      </c>
      <c r="L634">
        <v>85.7</v>
      </c>
      <c r="M634">
        <v>114</v>
      </c>
      <c r="N634">
        <v>99</v>
      </c>
      <c r="O634">
        <v>5</v>
      </c>
      <c r="P634">
        <v>4</v>
      </c>
      <c r="Q634" t="s">
        <v>24</v>
      </c>
      <c r="R634" t="s">
        <v>25</v>
      </c>
    </row>
    <row r="635" spans="1:18" x14ac:dyDescent="0.25">
      <c r="A635">
        <v>1634</v>
      </c>
      <c r="B635" t="s">
        <v>1269</v>
      </c>
      <c r="C635" t="s">
        <v>49</v>
      </c>
      <c r="D635" t="s">
        <v>178</v>
      </c>
      <c r="E635" t="s">
        <v>163</v>
      </c>
      <c r="F635" t="s">
        <v>22</v>
      </c>
      <c r="G635">
        <v>5.0999999999999996</v>
      </c>
      <c r="H635">
        <v>83817</v>
      </c>
      <c r="I635" t="s">
        <v>1270</v>
      </c>
      <c r="J635">
        <v>93.6</v>
      </c>
      <c r="K635">
        <v>18.7</v>
      </c>
      <c r="L635">
        <v>81.3</v>
      </c>
      <c r="M635">
        <v>81</v>
      </c>
      <c r="N635">
        <v>66</v>
      </c>
      <c r="O635">
        <v>1</v>
      </c>
      <c r="P635">
        <v>19</v>
      </c>
      <c r="Q635" t="s">
        <v>24</v>
      </c>
      <c r="R635" t="s">
        <v>25</v>
      </c>
    </row>
    <row r="636" spans="1:18" x14ac:dyDescent="0.25">
      <c r="A636">
        <v>1635</v>
      </c>
      <c r="B636" t="s">
        <v>1271</v>
      </c>
      <c r="C636" t="s">
        <v>89</v>
      </c>
      <c r="D636" t="s">
        <v>90</v>
      </c>
      <c r="E636" t="s">
        <v>91</v>
      </c>
      <c r="F636" t="s">
        <v>86</v>
      </c>
      <c r="G636">
        <v>3.9</v>
      </c>
      <c r="H636">
        <v>55055</v>
      </c>
      <c r="I636" t="s">
        <v>1177</v>
      </c>
      <c r="J636">
        <v>88.4</v>
      </c>
      <c r="K636">
        <v>7.7</v>
      </c>
      <c r="L636">
        <v>92.2</v>
      </c>
      <c r="M636">
        <v>51</v>
      </c>
      <c r="N636">
        <v>46</v>
      </c>
      <c r="O636">
        <v>0</v>
      </c>
      <c r="P636">
        <v>21</v>
      </c>
      <c r="Q636" t="s">
        <v>42</v>
      </c>
      <c r="R636" t="s">
        <v>62</v>
      </c>
    </row>
    <row r="637" spans="1:18" x14ac:dyDescent="0.25">
      <c r="A637">
        <v>1636</v>
      </c>
      <c r="B637" t="s">
        <v>1272</v>
      </c>
      <c r="C637" t="s">
        <v>44</v>
      </c>
      <c r="D637" t="s">
        <v>45</v>
      </c>
      <c r="E637" t="s">
        <v>97</v>
      </c>
      <c r="F637" t="s">
        <v>76</v>
      </c>
      <c r="G637">
        <v>8.9</v>
      </c>
      <c r="H637">
        <v>96136</v>
      </c>
      <c r="I637" t="s">
        <v>1273</v>
      </c>
      <c r="J637">
        <v>92.3</v>
      </c>
      <c r="K637">
        <v>24.9</v>
      </c>
      <c r="L637">
        <v>76.3</v>
      </c>
      <c r="M637">
        <v>82</v>
      </c>
      <c r="N637">
        <v>59</v>
      </c>
      <c r="O637">
        <v>3</v>
      </c>
      <c r="P637">
        <v>21</v>
      </c>
      <c r="Q637" t="s">
        <v>37</v>
      </c>
      <c r="R637" t="s">
        <v>57</v>
      </c>
    </row>
    <row r="638" spans="1:18" x14ac:dyDescent="0.25">
      <c r="A638">
        <v>1637</v>
      </c>
      <c r="B638" t="s">
        <v>1274</v>
      </c>
      <c r="C638" t="s">
        <v>27</v>
      </c>
      <c r="D638" t="s">
        <v>28</v>
      </c>
      <c r="E638" t="s">
        <v>85</v>
      </c>
      <c r="F638" t="s">
        <v>35</v>
      </c>
      <c r="G638">
        <v>2.1</v>
      </c>
      <c r="H638">
        <v>52729</v>
      </c>
      <c r="I638" t="s">
        <v>1275</v>
      </c>
      <c r="J638">
        <v>98.2</v>
      </c>
      <c r="K638">
        <v>7.2</v>
      </c>
      <c r="L638">
        <v>84.5</v>
      </c>
      <c r="M638">
        <v>61</v>
      </c>
      <c r="N638">
        <v>59</v>
      </c>
      <c r="O638">
        <v>1</v>
      </c>
      <c r="P638">
        <v>7</v>
      </c>
      <c r="Q638" t="s">
        <v>42</v>
      </c>
      <c r="R638" t="s">
        <v>25</v>
      </c>
    </row>
    <row r="639" spans="1:18" x14ac:dyDescent="0.25">
      <c r="A639">
        <v>1638</v>
      </c>
      <c r="B639" t="s">
        <v>1276</v>
      </c>
      <c r="C639" t="s">
        <v>27</v>
      </c>
      <c r="D639" t="s">
        <v>28</v>
      </c>
      <c r="E639" t="s">
        <v>118</v>
      </c>
      <c r="F639" t="s">
        <v>40</v>
      </c>
      <c r="G639">
        <v>4.2</v>
      </c>
      <c r="H639">
        <v>68724</v>
      </c>
      <c r="I639" t="s">
        <v>179</v>
      </c>
      <c r="J639">
        <v>97</v>
      </c>
      <c r="K639">
        <v>21.2</v>
      </c>
      <c r="L639">
        <v>98.3</v>
      </c>
      <c r="M639">
        <v>99</v>
      </c>
      <c r="N639">
        <v>99</v>
      </c>
      <c r="O639">
        <v>0</v>
      </c>
      <c r="P639">
        <v>18</v>
      </c>
      <c r="Q639" t="s">
        <v>42</v>
      </c>
      <c r="R639" t="s">
        <v>62</v>
      </c>
    </row>
    <row r="640" spans="1:18" x14ac:dyDescent="0.25">
      <c r="A640">
        <v>1639</v>
      </c>
      <c r="B640" t="s">
        <v>1277</v>
      </c>
      <c r="C640" t="s">
        <v>19</v>
      </c>
      <c r="D640" t="s">
        <v>81</v>
      </c>
      <c r="E640" t="s">
        <v>82</v>
      </c>
      <c r="F640" t="s">
        <v>86</v>
      </c>
      <c r="G640">
        <v>6.1</v>
      </c>
      <c r="H640">
        <v>73338</v>
      </c>
      <c r="I640" t="s">
        <v>1278</v>
      </c>
      <c r="J640">
        <v>90.6</v>
      </c>
      <c r="K640">
        <v>26.4</v>
      </c>
      <c r="L640">
        <v>79</v>
      </c>
      <c r="M640">
        <v>80</v>
      </c>
      <c r="N640">
        <v>55</v>
      </c>
      <c r="O640">
        <v>3</v>
      </c>
      <c r="P640">
        <v>15</v>
      </c>
      <c r="Q640" t="s">
        <v>24</v>
      </c>
      <c r="R640" t="s">
        <v>57</v>
      </c>
    </row>
    <row r="641" spans="1:18" x14ac:dyDescent="0.25">
      <c r="A641">
        <v>1640</v>
      </c>
      <c r="B641" t="s">
        <v>1279</v>
      </c>
      <c r="C641" t="s">
        <v>32</v>
      </c>
      <c r="D641" t="s">
        <v>106</v>
      </c>
      <c r="E641" t="s">
        <v>128</v>
      </c>
      <c r="F641" t="s">
        <v>22</v>
      </c>
      <c r="G641">
        <v>2.2000000000000002</v>
      </c>
      <c r="H641">
        <v>49370</v>
      </c>
      <c r="I641" t="s">
        <v>1280</v>
      </c>
      <c r="J641">
        <v>93.8</v>
      </c>
      <c r="K641">
        <v>25.7</v>
      </c>
      <c r="L641">
        <v>83.2</v>
      </c>
      <c r="M641">
        <v>99</v>
      </c>
      <c r="N641">
        <v>76</v>
      </c>
      <c r="O641">
        <v>6</v>
      </c>
      <c r="P641">
        <v>22</v>
      </c>
      <c r="Q641" t="s">
        <v>37</v>
      </c>
      <c r="R641" t="s">
        <v>25</v>
      </c>
    </row>
    <row r="642" spans="1:18" x14ac:dyDescent="0.25">
      <c r="A642">
        <v>1641</v>
      </c>
      <c r="B642" t="s">
        <v>1281</v>
      </c>
      <c r="C642" t="s">
        <v>32</v>
      </c>
      <c r="D642" t="s">
        <v>106</v>
      </c>
      <c r="E642" t="s">
        <v>34</v>
      </c>
      <c r="F642" t="s">
        <v>22</v>
      </c>
      <c r="G642">
        <v>2.7</v>
      </c>
      <c r="H642">
        <v>53895</v>
      </c>
      <c r="I642" t="s">
        <v>1282</v>
      </c>
      <c r="J642">
        <v>88.9</v>
      </c>
      <c r="K642">
        <v>20.3</v>
      </c>
      <c r="L642">
        <v>77.2</v>
      </c>
      <c r="M642">
        <v>94</v>
      </c>
      <c r="N642">
        <v>73</v>
      </c>
      <c r="O642">
        <v>3</v>
      </c>
      <c r="P642">
        <v>20</v>
      </c>
      <c r="Q642" t="s">
        <v>37</v>
      </c>
      <c r="R642" t="s">
        <v>57</v>
      </c>
    </row>
    <row r="643" spans="1:18" x14ac:dyDescent="0.25">
      <c r="A643">
        <v>1642</v>
      </c>
      <c r="B643" t="s">
        <v>1283</v>
      </c>
      <c r="C643" t="s">
        <v>32</v>
      </c>
      <c r="D643" t="s">
        <v>67</v>
      </c>
      <c r="E643" t="s">
        <v>34</v>
      </c>
      <c r="F643" t="s">
        <v>40</v>
      </c>
      <c r="G643">
        <v>5.7</v>
      </c>
      <c r="H643">
        <v>88343</v>
      </c>
      <c r="I643" t="s">
        <v>1284</v>
      </c>
      <c r="J643">
        <v>99.4</v>
      </c>
      <c r="K643">
        <v>38.4</v>
      </c>
      <c r="L643">
        <v>75.3</v>
      </c>
      <c r="M643">
        <v>115</v>
      </c>
      <c r="N643">
        <v>83</v>
      </c>
      <c r="O643">
        <v>2</v>
      </c>
      <c r="P643">
        <v>12</v>
      </c>
      <c r="Q643" t="s">
        <v>37</v>
      </c>
      <c r="R643" t="s">
        <v>57</v>
      </c>
    </row>
    <row r="644" spans="1:18" x14ac:dyDescent="0.25">
      <c r="A644">
        <v>1643</v>
      </c>
      <c r="B644" t="s">
        <v>1285</v>
      </c>
      <c r="C644" t="s">
        <v>44</v>
      </c>
      <c r="D644" t="s">
        <v>70</v>
      </c>
      <c r="E644" t="s">
        <v>97</v>
      </c>
      <c r="F644" t="s">
        <v>35</v>
      </c>
      <c r="G644">
        <v>4.0999999999999996</v>
      </c>
      <c r="H644">
        <v>56953</v>
      </c>
      <c r="I644" t="s">
        <v>1286</v>
      </c>
      <c r="J644">
        <v>94.7</v>
      </c>
      <c r="K644">
        <v>18.3</v>
      </c>
      <c r="L644">
        <v>85.1</v>
      </c>
      <c r="M644">
        <v>84</v>
      </c>
      <c r="N644">
        <v>73</v>
      </c>
      <c r="O644">
        <v>2</v>
      </c>
      <c r="P644">
        <v>17</v>
      </c>
      <c r="Q644" t="s">
        <v>24</v>
      </c>
      <c r="R644" t="s">
        <v>25</v>
      </c>
    </row>
    <row r="645" spans="1:18" x14ac:dyDescent="0.25">
      <c r="A645">
        <v>1644</v>
      </c>
      <c r="B645" t="s">
        <v>1287</v>
      </c>
      <c r="C645" t="s">
        <v>49</v>
      </c>
      <c r="D645" t="s">
        <v>50</v>
      </c>
      <c r="E645" t="s">
        <v>163</v>
      </c>
      <c r="F645" t="s">
        <v>35</v>
      </c>
      <c r="G645">
        <v>0.3</v>
      </c>
      <c r="H645">
        <v>28000</v>
      </c>
      <c r="I645" t="s">
        <v>1288</v>
      </c>
      <c r="J645">
        <v>99.4</v>
      </c>
      <c r="K645">
        <v>5.0999999999999996</v>
      </c>
      <c r="L645">
        <v>86.4</v>
      </c>
      <c r="M645">
        <v>45</v>
      </c>
      <c r="N645">
        <v>39</v>
      </c>
      <c r="O645">
        <v>0</v>
      </c>
      <c r="P645">
        <v>18</v>
      </c>
      <c r="Q645" t="s">
        <v>24</v>
      </c>
      <c r="R645" t="s">
        <v>25</v>
      </c>
    </row>
    <row r="646" spans="1:18" x14ac:dyDescent="0.25">
      <c r="A646">
        <v>1645</v>
      </c>
      <c r="B646" t="s">
        <v>1289</v>
      </c>
      <c r="C646" t="s">
        <v>49</v>
      </c>
      <c r="D646" t="s">
        <v>59</v>
      </c>
      <c r="E646" t="s">
        <v>51</v>
      </c>
      <c r="F646" t="s">
        <v>22</v>
      </c>
      <c r="G646">
        <v>3.1</v>
      </c>
      <c r="H646">
        <v>42996</v>
      </c>
      <c r="I646" t="s">
        <v>1290</v>
      </c>
      <c r="J646">
        <v>97.1</v>
      </c>
      <c r="K646">
        <v>20.399999999999999</v>
      </c>
      <c r="L646">
        <v>83.8</v>
      </c>
      <c r="M646">
        <v>72</v>
      </c>
      <c r="N646">
        <v>60</v>
      </c>
      <c r="O646">
        <v>1</v>
      </c>
      <c r="P646">
        <v>2</v>
      </c>
      <c r="Q646" t="s">
        <v>24</v>
      </c>
      <c r="R646" t="s">
        <v>25</v>
      </c>
    </row>
    <row r="647" spans="1:18" x14ac:dyDescent="0.25">
      <c r="A647">
        <v>1646</v>
      </c>
      <c r="B647" t="s">
        <v>1291</v>
      </c>
      <c r="C647" t="s">
        <v>49</v>
      </c>
      <c r="D647" t="s">
        <v>178</v>
      </c>
      <c r="E647" t="s">
        <v>51</v>
      </c>
      <c r="F647" t="s">
        <v>22</v>
      </c>
      <c r="G647">
        <v>1.5</v>
      </c>
      <c r="H647">
        <v>49062</v>
      </c>
      <c r="I647" t="s">
        <v>1292</v>
      </c>
      <c r="J647">
        <v>96.8</v>
      </c>
      <c r="K647">
        <v>15.2</v>
      </c>
      <c r="L647">
        <v>88</v>
      </c>
      <c r="M647">
        <v>92</v>
      </c>
      <c r="N647">
        <v>74</v>
      </c>
      <c r="O647">
        <v>0</v>
      </c>
      <c r="P647">
        <v>22</v>
      </c>
      <c r="Q647" t="s">
        <v>42</v>
      </c>
      <c r="R647" t="s">
        <v>25</v>
      </c>
    </row>
    <row r="648" spans="1:18" x14ac:dyDescent="0.25">
      <c r="A648">
        <v>1647</v>
      </c>
      <c r="B648" t="s">
        <v>1293</v>
      </c>
      <c r="C648" t="s">
        <v>89</v>
      </c>
      <c r="D648" t="s">
        <v>102</v>
      </c>
      <c r="E648" t="s">
        <v>111</v>
      </c>
      <c r="F648" t="s">
        <v>86</v>
      </c>
      <c r="G648">
        <v>9.1</v>
      </c>
      <c r="H648">
        <v>88654</v>
      </c>
      <c r="I648" t="s">
        <v>1294</v>
      </c>
      <c r="J648">
        <v>94.1</v>
      </c>
      <c r="K648">
        <v>18.5</v>
      </c>
      <c r="L648">
        <v>96.2</v>
      </c>
      <c r="M648">
        <v>70</v>
      </c>
      <c r="N648">
        <v>70</v>
      </c>
      <c r="O648">
        <v>0</v>
      </c>
      <c r="P648">
        <v>19</v>
      </c>
      <c r="Q648" t="s">
        <v>24</v>
      </c>
      <c r="R648" t="s">
        <v>62</v>
      </c>
    </row>
    <row r="649" spans="1:18" x14ac:dyDescent="0.25">
      <c r="A649">
        <v>1648</v>
      </c>
      <c r="B649" t="s">
        <v>1295</v>
      </c>
      <c r="C649" t="s">
        <v>49</v>
      </c>
      <c r="D649" t="s">
        <v>59</v>
      </c>
      <c r="E649" t="s">
        <v>51</v>
      </c>
      <c r="F649" t="s">
        <v>35</v>
      </c>
      <c r="G649">
        <v>1.5</v>
      </c>
      <c r="H649">
        <v>45910</v>
      </c>
      <c r="I649" t="s">
        <v>1296</v>
      </c>
      <c r="J649">
        <v>92.4</v>
      </c>
      <c r="K649">
        <v>4.4000000000000004</v>
      </c>
      <c r="L649">
        <v>81.599999999999994</v>
      </c>
      <c r="M649">
        <v>65</v>
      </c>
      <c r="N649">
        <v>54</v>
      </c>
      <c r="O649">
        <v>4</v>
      </c>
      <c r="P649">
        <v>15</v>
      </c>
      <c r="Q649" t="s">
        <v>24</v>
      </c>
      <c r="R649" t="s">
        <v>25</v>
      </c>
    </row>
    <row r="650" spans="1:18" x14ac:dyDescent="0.25">
      <c r="A650">
        <v>1649</v>
      </c>
      <c r="B650" t="s">
        <v>1297</v>
      </c>
      <c r="C650" t="s">
        <v>27</v>
      </c>
      <c r="D650" t="s">
        <v>28</v>
      </c>
      <c r="E650" t="s">
        <v>29</v>
      </c>
      <c r="F650" t="s">
        <v>40</v>
      </c>
      <c r="G650">
        <v>5.3</v>
      </c>
      <c r="H650">
        <v>73608</v>
      </c>
      <c r="I650" t="s">
        <v>359</v>
      </c>
      <c r="J650">
        <v>96.9</v>
      </c>
      <c r="K650">
        <v>20.7</v>
      </c>
      <c r="L650">
        <v>92.1</v>
      </c>
      <c r="M650">
        <v>74</v>
      </c>
      <c r="N650">
        <v>70</v>
      </c>
      <c r="O650">
        <v>5</v>
      </c>
      <c r="P650">
        <v>10</v>
      </c>
      <c r="Q650" t="s">
        <v>42</v>
      </c>
      <c r="R650" t="s">
        <v>62</v>
      </c>
    </row>
    <row r="651" spans="1:18" x14ac:dyDescent="0.25">
      <c r="A651">
        <v>1650</v>
      </c>
      <c r="B651" t="s">
        <v>1298</v>
      </c>
      <c r="C651" t="s">
        <v>44</v>
      </c>
      <c r="D651" t="s">
        <v>70</v>
      </c>
      <c r="E651" t="s">
        <v>97</v>
      </c>
      <c r="F651" t="s">
        <v>76</v>
      </c>
      <c r="G651">
        <v>4.2</v>
      </c>
      <c r="H651">
        <v>75993</v>
      </c>
      <c r="I651" t="s">
        <v>1299</v>
      </c>
      <c r="J651">
        <v>90.4</v>
      </c>
      <c r="K651">
        <v>21.3</v>
      </c>
      <c r="L651">
        <v>76.8</v>
      </c>
      <c r="M651">
        <v>113</v>
      </c>
      <c r="N651">
        <v>75</v>
      </c>
      <c r="O651">
        <v>8</v>
      </c>
      <c r="P651">
        <v>12</v>
      </c>
      <c r="Q651" t="s">
        <v>37</v>
      </c>
      <c r="R651" t="s">
        <v>57</v>
      </c>
    </row>
    <row r="652" spans="1:18" x14ac:dyDescent="0.25">
      <c r="A652">
        <v>1651</v>
      </c>
      <c r="B652" t="s">
        <v>1300</v>
      </c>
      <c r="C652" t="s">
        <v>27</v>
      </c>
      <c r="D652" t="s">
        <v>28</v>
      </c>
      <c r="E652" t="s">
        <v>85</v>
      </c>
      <c r="F652" t="s">
        <v>103</v>
      </c>
      <c r="G652">
        <v>6.6</v>
      </c>
      <c r="H652">
        <v>75220</v>
      </c>
      <c r="I652" t="s">
        <v>1301</v>
      </c>
      <c r="J652">
        <v>91.1</v>
      </c>
      <c r="K652">
        <v>1.2</v>
      </c>
      <c r="L652">
        <v>78.7</v>
      </c>
      <c r="M652">
        <v>82</v>
      </c>
      <c r="N652">
        <v>59</v>
      </c>
      <c r="O652">
        <v>2</v>
      </c>
      <c r="P652">
        <v>2</v>
      </c>
      <c r="Q652" t="s">
        <v>42</v>
      </c>
      <c r="R652" t="s">
        <v>57</v>
      </c>
    </row>
    <row r="653" spans="1:18" x14ac:dyDescent="0.25">
      <c r="A653">
        <v>1652</v>
      </c>
      <c r="B653" t="s">
        <v>1302</v>
      </c>
      <c r="C653" t="s">
        <v>44</v>
      </c>
      <c r="D653" t="s">
        <v>45</v>
      </c>
      <c r="E653" t="s">
        <v>55</v>
      </c>
      <c r="F653" t="s">
        <v>22</v>
      </c>
      <c r="G653">
        <v>6.6</v>
      </c>
      <c r="H653">
        <v>86782</v>
      </c>
      <c r="I653" t="s">
        <v>1303</v>
      </c>
      <c r="J653">
        <v>95.1</v>
      </c>
      <c r="K653">
        <v>26.4</v>
      </c>
      <c r="L653">
        <v>85.8</v>
      </c>
      <c r="M653">
        <v>111</v>
      </c>
      <c r="N653">
        <v>97</v>
      </c>
      <c r="O653">
        <v>2</v>
      </c>
      <c r="P653">
        <v>26</v>
      </c>
      <c r="Q653" t="s">
        <v>24</v>
      </c>
      <c r="R653" t="s">
        <v>25</v>
      </c>
    </row>
    <row r="654" spans="1:18" x14ac:dyDescent="0.25">
      <c r="A654">
        <v>1653</v>
      </c>
      <c r="B654" t="s">
        <v>1304</v>
      </c>
      <c r="C654" t="s">
        <v>89</v>
      </c>
      <c r="D654" t="s">
        <v>90</v>
      </c>
      <c r="E654" t="s">
        <v>111</v>
      </c>
      <c r="F654" t="s">
        <v>76</v>
      </c>
      <c r="G654">
        <v>4.8</v>
      </c>
      <c r="H654">
        <v>62970</v>
      </c>
      <c r="I654" t="s">
        <v>1305</v>
      </c>
      <c r="J654">
        <v>92.4</v>
      </c>
      <c r="K654">
        <v>13.8</v>
      </c>
      <c r="L654">
        <v>93</v>
      </c>
      <c r="M654">
        <v>85</v>
      </c>
      <c r="N654">
        <v>81</v>
      </c>
      <c r="O654">
        <v>3</v>
      </c>
      <c r="P654">
        <v>15</v>
      </c>
      <c r="Q654" t="s">
        <v>42</v>
      </c>
      <c r="R654" t="s">
        <v>62</v>
      </c>
    </row>
    <row r="655" spans="1:18" x14ac:dyDescent="0.25">
      <c r="A655">
        <v>1654</v>
      </c>
      <c r="B655" t="s">
        <v>1306</v>
      </c>
      <c r="C655" t="s">
        <v>44</v>
      </c>
      <c r="D655" t="s">
        <v>70</v>
      </c>
      <c r="E655" t="s">
        <v>46</v>
      </c>
      <c r="F655" t="s">
        <v>40</v>
      </c>
      <c r="G655">
        <v>4.9000000000000004</v>
      </c>
      <c r="H655">
        <v>67697</v>
      </c>
      <c r="I655" t="s">
        <v>1273</v>
      </c>
      <c r="J655">
        <v>93.3</v>
      </c>
      <c r="K655">
        <v>32.299999999999997</v>
      </c>
      <c r="L655">
        <v>71.5</v>
      </c>
      <c r="M655">
        <v>114</v>
      </c>
      <c r="N655">
        <v>85</v>
      </c>
      <c r="O655">
        <v>3</v>
      </c>
      <c r="P655">
        <v>13</v>
      </c>
      <c r="Q655" t="s">
        <v>37</v>
      </c>
      <c r="R655" t="s">
        <v>57</v>
      </c>
    </row>
    <row r="656" spans="1:18" x14ac:dyDescent="0.25">
      <c r="A656">
        <v>1655</v>
      </c>
      <c r="B656" t="s">
        <v>1307</v>
      </c>
      <c r="C656" t="s">
        <v>49</v>
      </c>
      <c r="D656" t="s">
        <v>178</v>
      </c>
      <c r="E656" t="s">
        <v>51</v>
      </c>
      <c r="F656" t="s">
        <v>40</v>
      </c>
      <c r="G656">
        <v>2.6</v>
      </c>
      <c r="H656">
        <v>43718</v>
      </c>
      <c r="I656" t="s">
        <v>172</v>
      </c>
      <c r="J656">
        <v>92.8</v>
      </c>
      <c r="K656">
        <v>13.3</v>
      </c>
      <c r="L656">
        <v>87.5</v>
      </c>
      <c r="M656">
        <v>79</v>
      </c>
      <c r="N656">
        <v>72</v>
      </c>
      <c r="O656">
        <v>0</v>
      </c>
      <c r="P656">
        <v>21</v>
      </c>
      <c r="Q656" t="s">
        <v>24</v>
      </c>
      <c r="R656" t="s">
        <v>25</v>
      </c>
    </row>
    <row r="657" spans="1:18" x14ac:dyDescent="0.25">
      <c r="A657">
        <v>1656</v>
      </c>
      <c r="B657" t="s">
        <v>1308</v>
      </c>
      <c r="C657" t="s">
        <v>49</v>
      </c>
      <c r="D657" t="s">
        <v>178</v>
      </c>
      <c r="E657" t="s">
        <v>60</v>
      </c>
      <c r="F657" t="s">
        <v>103</v>
      </c>
      <c r="G657">
        <v>4.9000000000000004</v>
      </c>
      <c r="H657">
        <v>67978</v>
      </c>
      <c r="I657" t="s">
        <v>299</v>
      </c>
      <c r="J657">
        <v>93.1</v>
      </c>
      <c r="K657">
        <v>20.9</v>
      </c>
      <c r="L657">
        <v>84.3</v>
      </c>
      <c r="M657">
        <v>84</v>
      </c>
      <c r="N657">
        <v>67</v>
      </c>
      <c r="O657">
        <v>1</v>
      </c>
      <c r="P657">
        <v>20</v>
      </c>
      <c r="Q657" t="s">
        <v>42</v>
      </c>
      <c r="R657" t="s">
        <v>25</v>
      </c>
    </row>
    <row r="658" spans="1:18" x14ac:dyDescent="0.25">
      <c r="A658">
        <v>1657</v>
      </c>
      <c r="B658" t="s">
        <v>1309</v>
      </c>
      <c r="C658" t="s">
        <v>27</v>
      </c>
      <c r="D658" t="s">
        <v>75</v>
      </c>
      <c r="E658" t="s">
        <v>85</v>
      </c>
      <c r="F658" t="s">
        <v>35</v>
      </c>
      <c r="G658">
        <v>3.1</v>
      </c>
      <c r="H658">
        <v>63004</v>
      </c>
      <c r="I658" t="s">
        <v>1310</v>
      </c>
      <c r="J658">
        <v>89.8</v>
      </c>
      <c r="K658">
        <v>3.9</v>
      </c>
      <c r="L658">
        <v>91</v>
      </c>
      <c r="M658">
        <v>62</v>
      </c>
      <c r="N658">
        <v>59</v>
      </c>
      <c r="O658">
        <v>0</v>
      </c>
      <c r="P658">
        <v>18</v>
      </c>
      <c r="Q658" t="s">
        <v>42</v>
      </c>
      <c r="R658" t="s">
        <v>62</v>
      </c>
    </row>
    <row r="659" spans="1:18" x14ac:dyDescent="0.25">
      <c r="A659">
        <v>1658</v>
      </c>
      <c r="B659" t="s">
        <v>1311</v>
      </c>
      <c r="C659" t="s">
        <v>49</v>
      </c>
      <c r="D659" t="s">
        <v>59</v>
      </c>
      <c r="E659" t="s">
        <v>51</v>
      </c>
      <c r="F659" t="s">
        <v>86</v>
      </c>
      <c r="G659">
        <v>4.0999999999999996</v>
      </c>
      <c r="H659">
        <v>53018</v>
      </c>
      <c r="I659" t="s">
        <v>1312</v>
      </c>
      <c r="J659">
        <v>96.6</v>
      </c>
      <c r="K659">
        <v>7.6</v>
      </c>
      <c r="L659">
        <v>82.8</v>
      </c>
      <c r="M659">
        <v>65</v>
      </c>
      <c r="N659">
        <v>48</v>
      </c>
      <c r="O659">
        <v>3</v>
      </c>
      <c r="P659">
        <v>10</v>
      </c>
      <c r="Q659" t="s">
        <v>42</v>
      </c>
      <c r="R659" t="s">
        <v>25</v>
      </c>
    </row>
    <row r="660" spans="1:18" x14ac:dyDescent="0.25">
      <c r="A660">
        <v>1659</v>
      </c>
      <c r="B660" t="s">
        <v>1313</v>
      </c>
      <c r="C660" t="s">
        <v>32</v>
      </c>
      <c r="D660" t="s">
        <v>67</v>
      </c>
      <c r="E660" t="s">
        <v>94</v>
      </c>
      <c r="F660" t="s">
        <v>103</v>
      </c>
      <c r="G660">
        <v>8.1999999999999993</v>
      </c>
      <c r="H660">
        <v>81000</v>
      </c>
      <c r="I660" t="s">
        <v>1314</v>
      </c>
      <c r="J660">
        <v>97.8</v>
      </c>
      <c r="K660">
        <v>32.200000000000003</v>
      </c>
      <c r="L660">
        <v>84.4</v>
      </c>
      <c r="M660">
        <v>107</v>
      </c>
      <c r="N660">
        <v>88</v>
      </c>
      <c r="O660">
        <v>3</v>
      </c>
      <c r="P660">
        <v>15</v>
      </c>
      <c r="Q660" t="s">
        <v>37</v>
      </c>
      <c r="R660" t="s">
        <v>25</v>
      </c>
    </row>
    <row r="661" spans="1:18" x14ac:dyDescent="0.25">
      <c r="A661">
        <v>1660</v>
      </c>
      <c r="B661" t="s">
        <v>1315</v>
      </c>
      <c r="C661" t="s">
        <v>44</v>
      </c>
      <c r="D661" t="s">
        <v>70</v>
      </c>
      <c r="E661" t="s">
        <v>46</v>
      </c>
      <c r="F661" t="s">
        <v>22</v>
      </c>
      <c r="G661">
        <v>1.1000000000000001</v>
      </c>
      <c r="H661">
        <v>54089</v>
      </c>
      <c r="I661" t="s">
        <v>219</v>
      </c>
      <c r="J661">
        <v>98</v>
      </c>
      <c r="K661">
        <v>23.1</v>
      </c>
      <c r="L661">
        <v>79.900000000000006</v>
      </c>
      <c r="M661">
        <v>98</v>
      </c>
      <c r="N661">
        <v>69</v>
      </c>
      <c r="O661">
        <v>8</v>
      </c>
      <c r="P661">
        <v>10</v>
      </c>
      <c r="Q661" t="s">
        <v>24</v>
      </c>
      <c r="R661" t="s">
        <v>57</v>
      </c>
    </row>
    <row r="662" spans="1:18" x14ac:dyDescent="0.25">
      <c r="A662">
        <v>1661</v>
      </c>
      <c r="B662" t="s">
        <v>1316</v>
      </c>
      <c r="C662" t="s">
        <v>49</v>
      </c>
      <c r="D662" t="s">
        <v>59</v>
      </c>
      <c r="E662" t="s">
        <v>51</v>
      </c>
      <c r="F662" t="s">
        <v>86</v>
      </c>
      <c r="G662">
        <v>2.1</v>
      </c>
      <c r="H662">
        <v>51010</v>
      </c>
      <c r="I662" t="s">
        <v>523</v>
      </c>
      <c r="J662">
        <v>91.6</v>
      </c>
      <c r="K662">
        <v>12.1</v>
      </c>
      <c r="L662">
        <v>87.4</v>
      </c>
      <c r="M662">
        <v>57</v>
      </c>
      <c r="N662">
        <v>48</v>
      </c>
      <c r="O662">
        <v>0</v>
      </c>
      <c r="P662">
        <v>10</v>
      </c>
      <c r="Q662" t="s">
        <v>42</v>
      </c>
      <c r="R662" t="s">
        <v>25</v>
      </c>
    </row>
    <row r="663" spans="1:18" x14ac:dyDescent="0.25">
      <c r="A663">
        <v>1662</v>
      </c>
      <c r="B663" t="s">
        <v>1317</v>
      </c>
      <c r="C663" t="s">
        <v>49</v>
      </c>
      <c r="D663" t="s">
        <v>59</v>
      </c>
      <c r="E663" t="s">
        <v>51</v>
      </c>
      <c r="F663" t="s">
        <v>40</v>
      </c>
      <c r="G663">
        <v>3.1</v>
      </c>
      <c r="H663">
        <v>45506</v>
      </c>
      <c r="I663" t="s">
        <v>1318</v>
      </c>
      <c r="J663">
        <v>85.8</v>
      </c>
      <c r="K663">
        <v>8.6999999999999993</v>
      </c>
      <c r="L663">
        <v>83.6</v>
      </c>
      <c r="M663">
        <v>86</v>
      </c>
      <c r="N663">
        <v>69</v>
      </c>
      <c r="O663">
        <v>6</v>
      </c>
      <c r="P663">
        <v>22</v>
      </c>
      <c r="Q663" t="s">
        <v>24</v>
      </c>
      <c r="R663" t="s">
        <v>25</v>
      </c>
    </row>
    <row r="664" spans="1:18" x14ac:dyDescent="0.25">
      <c r="A664">
        <v>1663</v>
      </c>
      <c r="B664" t="s">
        <v>1319</v>
      </c>
      <c r="C664" t="s">
        <v>27</v>
      </c>
      <c r="D664" t="s">
        <v>28</v>
      </c>
      <c r="E664" t="s">
        <v>29</v>
      </c>
      <c r="F664" t="s">
        <v>22</v>
      </c>
      <c r="G664">
        <v>3</v>
      </c>
      <c r="H664">
        <v>49847</v>
      </c>
      <c r="I664" t="s">
        <v>295</v>
      </c>
      <c r="J664">
        <v>88</v>
      </c>
      <c r="K664">
        <v>10.8</v>
      </c>
      <c r="L664">
        <v>82.8</v>
      </c>
      <c r="M664">
        <v>53</v>
      </c>
      <c r="N664">
        <v>47</v>
      </c>
      <c r="O664">
        <v>2</v>
      </c>
      <c r="P664">
        <v>12</v>
      </c>
      <c r="Q664" t="s">
        <v>42</v>
      </c>
      <c r="R664" t="s">
        <v>25</v>
      </c>
    </row>
    <row r="665" spans="1:18" x14ac:dyDescent="0.25">
      <c r="A665">
        <v>1664</v>
      </c>
      <c r="B665" t="s">
        <v>1320</v>
      </c>
      <c r="C665" t="s">
        <v>27</v>
      </c>
      <c r="D665" t="s">
        <v>75</v>
      </c>
      <c r="E665" t="s">
        <v>118</v>
      </c>
      <c r="F665" t="s">
        <v>103</v>
      </c>
      <c r="G665">
        <v>7.2</v>
      </c>
      <c r="H665">
        <v>70064</v>
      </c>
      <c r="I665" t="s">
        <v>1321</v>
      </c>
      <c r="J665">
        <v>87.5</v>
      </c>
      <c r="K665">
        <v>22.6</v>
      </c>
      <c r="L665">
        <v>91.5</v>
      </c>
      <c r="M665">
        <v>89</v>
      </c>
      <c r="N665">
        <v>85</v>
      </c>
      <c r="O665">
        <v>1</v>
      </c>
      <c r="P665">
        <v>14</v>
      </c>
      <c r="Q665" t="s">
        <v>42</v>
      </c>
      <c r="R665" t="s">
        <v>62</v>
      </c>
    </row>
    <row r="666" spans="1:18" x14ac:dyDescent="0.25">
      <c r="A666">
        <v>1665</v>
      </c>
      <c r="B666" t="s">
        <v>1322</v>
      </c>
      <c r="C666" t="s">
        <v>49</v>
      </c>
      <c r="D666" t="s">
        <v>178</v>
      </c>
      <c r="E666" t="s">
        <v>163</v>
      </c>
      <c r="F666" t="s">
        <v>35</v>
      </c>
      <c r="G666">
        <v>0.2</v>
      </c>
      <c r="H666">
        <v>32071</v>
      </c>
      <c r="I666" t="s">
        <v>1015</v>
      </c>
      <c r="J666">
        <v>99.8</v>
      </c>
      <c r="K666">
        <v>1.7</v>
      </c>
      <c r="L666">
        <v>79.099999999999994</v>
      </c>
      <c r="M666">
        <v>54</v>
      </c>
      <c r="N666">
        <v>44</v>
      </c>
      <c r="O666">
        <v>0</v>
      </c>
      <c r="P666">
        <v>17</v>
      </c>
      <c r="Q666" t="s">
        <v>42</v>
      </c>
      <c r="R666" t="s">
        <v>57</v>
      </c>
    </row>
    <row r="667" spans="1:18" x14ac:dyDescent="0.25">
      <c r="A667">
        <v>1666</v>
      </c>
      <c r="B667" t="s">
        <v>1323</v>
      </c>
      <c r="C667" t="s">
        <v>49</v>
      </c>
      <c r="D667" t="s">
        <v>178</v>
      </c>
      <c r="E667" t="s">
        <v>163</v>
      </c>
      <c r="F667" t="s">
        <v>103</v>
      </c>
      <c r="G667">
        <v>3.4</v>
      </c>
      <c r="H667">
        <v>62836</v>
      </c>
      <c r="I667" t="s">
        <v>1324</v>
      </c>
      <c r="J667">
        <v>94.9</v>
      </c>
      <c r="K667">
        <v>10.4</v>
      </c>
      <c r="L667">
        <v>90</v>
      </c>
      <c r="M667">
        <v>84</v>
      </c>
      <c r="N667">
        <v>75</v>
      </c>
      <c r="O667">
        <v>1</v>
      </c>
      <c r="P667">
        <v>12</v>
      </c>
      <c r="Q667" t="s">
        <v>42</v>
      </c>
      <c r="R667" t="s">
        <v>62</v>
      </c>
    </row>
    <row r="668" spans="1:18" x14ac:dyDescent="0.25">
      <c r="A668">
        <v>1667</v>
      </c>
      <c r="B668" t="s">
        <v>1325</v>
      </c>
      <c r="C668" t="s">
        <v>44</v>
      </c>
      <c r="D668" t="s">
        <v>45</v>
      </c>
      <c r="E668" t="s">
        <v>55</v>
      </c>
      <c r="F668" t="s">
        <v>35</v>
      </c>
      <c r="G668">
        <v>5.2</v>
      </c>
      <c r="H668">
        <v>69842</v>
      </c>
      <c r="I668" t="s">
        <v>1326</v>
      </c>
      <c r="J668">
        <v>96.8</v>
      </c>
      <c r="K668">
        <v>39.799999999999997</v>
      </c>
      <c r="L668">
        <v>79.3</v>
      </c>
      <c r="M668">
        <v>118</v>
      </c>
      <c r="N668">
        <v>103</v>
      </c>
      <c r="O668">
        <v>3</v>
      </c>
      <c r="P668">
        <v>24</v>
      </c>
      <c r="Q668" t="s">
        <v>37</v>
      </c>
      <c r="R668" t="s">
        <v>57</v>
      </c>
    </row>
    <row r="669" spans="1:18" x14ac:dyDescent="0.25">
      <c r="A669">
        <v>1668</v>
      </c>
      <c r="B669" t="s">
        <v>1327</v>
      </c>
      <c r="C669" t="s">
        <v>44</v>
      </c>
      <c r="D669" t="s">
        <v>70</v>
      </c>
      <c r="E669" t="s">
        <v>46</v>
      </c>
      <c r="F669" t="s">
        <v>103</v>
      </c>
      <c r="G669">
        <v>4.3</v>
      </c>
      <c r="H669">
        <v>59352</v>
      </c>
      <c r="I669" t="s">
        <v>1328</v>
      </c>
      <c r="J669">
        <v>95.8</v>
      </c>
      <c r="K669">
        <v>8.6</v>
      </c>
      <c r="L669">
        <v>75.900000000000006</v>
      </c>
      <c r="M669">
        <v>64</v>
      </c>
      <c r="N669">
        <v>50</v>
      </c>
      <c r="O669">
        <v>0</v>
      </c>
      <c r="P669">
        <v>23</v>
      </c>
      <c r="Q669" t="s">
        <v>37</v>
      </c>
      <c r="R669" t="s">
        <v>57</v>
      </c>
    </row>
    <row r="670" spans="1:18" x14ac:dyDescent="0.25">
      <c r="A670">
        <v>1669</v>
      </c>
      <c r="B670" t="s">
        <v>1329</v>
      </c>
      <c r="C670" t="s">
        <v>19</v>
      </c>
      <c r="D670" t="s">
        <v>137</v>
      </c>
      <c r="E670" t="s">
        <v>82</v>
      </c>
      <c r="F670" t="s">
        <v>76</v>
      </c>
      <c r="G670">
        <v>2.4</v>
      </c>
      <c r="H670">
        <v>58501</v>
      </c>
      <c r="I670" t="s">
        <v>1330</v>
      </c>
      <c r="J670">
        <v>93.7</v>
      </c>
      <c r="K670">
        <v>24</v>
      </c>
      <c r="L670">
        <v>80.8</v>
      </c>
      <c r="M670">
        <v>116</v>
      </c>
      <c r="N670">
        <v>84</v>
      </c>
      <c r="O670">
        <v>4</v>
      </c>
      <c r="P670">
        <v>16</v>
      </c>
      <c r="Q670" t="s">
        <v>37</v>
      </c>
      <c r="R670" t="s">
        <v>25</v>
      </c>
    </row>
    <row r="671" spans="1:18" x14ac:dyDescent="0.25">
      <c r="A671">
        <v>1670</v>
      </c>
      <c r="B671" t="s">
        <v>1331</v>
      </c>
      <c r="C671" t="s">
        <v>89</v>
      </c>
      <c r="D671" t="s">
        <v>121</v>
      </c>
      <c r="E671" t="s">
        <v>152</v>
      </c>
      <c r="F671" t="s">
        <v>76</v>
      </c>
      <c r="G671">
        <v>2.9</v>
      </c>
      <c r="H671">
        <v>58831</v>
      </c>
      <c r="I671" t="s">
        <v>1332</v>
      </c>
      <c r="J671">
        <v>86.9</v>
      </c>
      <c r="K671">
        <v>15.6</v>
      </c>
      <c r="L671">
        <v>90.1</v>
      </c>
      <c r="M671">
        <v>83</v>
      </c>
      <c r="N671">
        <v>80</v>
      </c>
      <c r="O671">
        <v>5</v>
      </c>
      <c r="P671">
        <v>21</v>
      </c>
      <c r="Q671" t="s">
        <v>42</v>
      </c>
      <c r="R671" t="s">
        <v>62</v>
      </c>
    </row>
    <row r="672" spans="1:18" x14ac:dyDescent="0.25">
      <c r="A672">
        <v>1671</v>
      </c>
      <c r="B672" t="s">
        <v>1333</v>
      </c>
      <c r="C672" t="s">
        <v>19</v>
      </c>
      <c r="D672" t="s">
        <v>20</v>
      </c>
      <c r="E672" t="s">
        <v>21</v>
      </c>
      <c r="F672" t="s">
        <v>76</v>
      </c>
      <c r="G672">
        <v>7</v>
      </c>
      <c r="H672">
        <v>71219</v>
      </c>
      <c r="I672" t="s">
        <v>1334</v>
      </c>
      <c r="J672">
        <v>95</v>
      </c>
      <c r="K672">
        <v>31.3</v>
      </c>
      <c r="L672">
        <v>88.2</v>
      </c>
      <c r="M672">
        <v>95</v>
      </c>
      <c r="N672">
        <v>79</v>
      </c>
      <c r="O672">
        <v>3</v>
      </c>
      <c r="P672">
        <v>24</v>
      </c>
      <c r="Q672" t="s">
        <v>37</v>
      </c>
      <c r="R672" t="s">
        <v>25</v>
      </c>
    </row>
    <row r="673" spans="1:18" x14ac:dyDescent="0.25">
      <c r="A673">
        <v>1672</v>
      </c>
      <c r="B673" t="s">
        <v>1335</v>
      </c>
      <c r="C673" t="s">
        <v>89</v>
      </c>
      <c r="D673" t="s">
        <v>90</v>
      </c>
      <c r="E673" t="s">
        <v>91</v>
      </c>
      <c r="F673" t="s">
        <v>22</v>
      </c>
      <c r="G673">
        <v>3.2</v>
      </c>
      <c r="H673">
        <v>61771</v>
      </c>
      <c r="I673" t="s">
        <v>1336</v>
      </c>
      <c r="J673">
        <v>99.1</v>
      </c>
      <c r="K673">
        <v>13.7</v>
      </c>
      <c r="L673">
        <v>85.6</v>
      </c>
      <c r="M673">
        <v>100</v>
      </c>
      <c r="N673">
        <v>78</v>
      </c>
      <c r="O673">
        <v>1</v>
      </c>
      <c r="P673">
        <v>16</v>
      </c>
      <c r="Q673" t="s">
        <v>42</v>
      </c>
      <c r="R673" t="s">
        <v>25</v>
      </c>
    </row>
    <row r="674" spans="1:18" x14ac:dyDescent="0.25">
      <c r="A674">
        <v>1673</v>
      </c>
      <c r="B674" t="s">
        <v>1337</v>
      </c>
      <c r="C674" t="s">
        <v>27</v>
      </c>
      <c r="D674" t="s">
        <v>28</v>
      </c>
      <c r="E674" t="s">
        <v>118</v>
      </c>
      <c r="F674" t="s">
        <v>103</v>
      </c>
      <c r="G674">
        <v>5.6</v>
      </c>
      <c r="H674">
        <v>80619</v>
      </c>
      <c r="I674" t="s">
        <v>919</v>
      </c>
      <c r="J674">
        <v>96.3</v>
      </c>
      <c r="K674">
        <v>15.8</v>
      </c>
      <c r="L674">
        <v>83.6</v>
      </c>
      <c r="M674">
        <v>61</v>
      </c>
      <c r="N674">
        <v>46</v>
      </c>
      <c r="O674">
        <v>1</v>
      </c>
      <c r="P674">
        <v>8</v>
      </c>
      <c r="Q674" t="s">
        <v>42</v>
      </c>
      <c r="R674" t="s">
        <v>25</v>
      </c>
    </row>
    <row r="675" spans="1:18" x14ac:dyDescent="0.25">
      <c r="A675">
        <v>1674</v>
      </c>
      <c r="B675" t="s">
        <v>1338</v>
      </c>
      <c r="C675" t="s">
        <v>19</v>
      </c>
      <c r="D675" t="s">
        <v>20</v>
      </c>
      <c r="E675" t="s">
        <v>21</v>
      </c>
      <c r="F675" t="s">
        <v>22</v>
      </c>
      <c r="G675">
        <v>4.5999999999999996</v>
      </c>
      <c r="H675">
        <v>59151</v>
      </c>
      <c r="I675" t="s">
        <v>1339</v>
      </c>
      <c r="J675">
        <v>91.3</v>
      </c>
      <c r="K675">
        <v>0</v>
      </c>
      <c r="L675">
        <v>87.4</v>
      </c>
      <c r="M675">
        <v>38</v>
      </c>
      <c r="N675">
        <v>33</v>
      </c>
      <c r="O675">
        <v>0</v>
      </c>
      <c r="P675">
        <v>16</v>
      </c>
      <c r="Q675" t="s">
        <v>24</v>
      </c>
      <c r="R675" t="s">
        <v>25</v>
      </c>
    </row>
    <row r="676" spans="1:18" x14ac:dyDescent="0.25">
      <c r="A676">
        <v>1675</v>
      </c>
      <c r="B676" t="s">
        <v>1340</v>
      </c>
      <c r="C676" t="s">
        <v>27</v>
      </c>
      <c r="D676" t="s">
        <v>28</v>
      </c>
      <c r="E676" t="s">
        <v>85</v>
      </c>
      <c r="F676" t="s">
        <v>35</v>
      </c>
      <c r="G676">
        <v>6</v>
      </c>
      <c r="H676">
        <v>85769</v>
      </c>
      <c r="I676" t="s">
        <v>1341</v>
      </c>
      <c r="J676">
        <v>98.1</v>
      </c>
      <c r="K676">
        <v>23.4</v>
      </c>
      <c r="L676">
        <v>94.9</v>
      </c>
      <c r="M676">
        <v>90</v>
      </c>
      <c r="N676">
        <v>88</v>
      </c>
      <c r="O676">
        <v>1</v>
      </c>
      <c r="P676">
        <v>9</v>
      </c>
      <c r="Q676" t="s">
        <v>24</v>
      </c>
      <c r="R676" t="s">
        <v>62</v>
      </c>
    </row>
    <row r="677" spans="1:18" x14ac:dyDescent="0.25">
      <c r="A677">
        <v>1676</v>
      </c>
      <c r="B677" t="s">
        <v>1342</v>
      </c>
      <c r="C677" t="s">
        <v>44</v>
      </c>
      <c r="D677" t="s">
        <v>70</v>
      </c>
      <c r="E677" t="s">
        <v>55</v>
      </c>
      <c r="F677" t="s">
        <v>86</v>
      </c>
      <c r="G677">
        <v>3.4</v>
      </c>
      <c r="H677">
        <v>60327</v>
      </c>
      <c r="I677" t="s">
        <v>1343</v>
      </c>
      <c r="J677">
        <v>96</v>
      </c>
      <c r="K677">
        <v>31.2</v>
      </c>
      <c r="L677">
        <v>84.8</v>
      </c>
      <c r="M677">
        <v>97</v>
      </c>
      <c r="N677">
        <v>79</v>
      </c>
      <c r="O677">
        <v>0</v>
      </c>
      <c r="P677">
        <v>15</v>
      </c>
      <c r="Q677" t="s">
        <v>37</v>
      </c>
      <c r="R677" t="s">
        <v>25</v>
      </c>
    </row>
    <row r="678" spans="1:18" x14ac:dyDescent="0.25">
      <c r="A678">
        <v>1677</v>
      </c>
      <c r="B678" t="s">
        <v>1344</v>
      </c>
      <c r="C678" t="s">
        <v>44</v>
      </c>
      <c r="D678" t="s">
        <v>54</v>
      </c>
      <c r="E678" t="s">
        <v>46</v>
      </c>
      <c r="F678" t="s">
        <v>40</v>
      </c>
      <c r="G678">
        <v>6.4</v>
      </c>
      <c r="H678">
        <v>92012</v>
      </c>
      <c r="I678" t="s">
        <v>1345</v>
      </c>
      <c r="J678">
        <v>90.5</v>
      </c>
      <c r="K678">
        <v>32.799999999999997</v>
      </c>
      <c r="L678">
        <v>72.5</v>
      </c>
      <c r="M678">
        <v>131</v>
      </c>
      <c r="N678">
        <v>84</v>
      </c>
      <c r="O678">
        <v>4</v>
      </c>
      <c r="P678">
        <v>9</v>
      </c>
      <c r="Q678" t="s">
        <v>37</v>
      </c>
      <c r="R678" t="s">
        <v>57</v>
      </c>
    </row>
    <row r="679" spans="1:18" x14ac:dyDescent="0.25">
      <c r="A679">
        <v>1678</v>
      </c>
      <c r="B679" t="s">
        <v>1346</v>
      </c>
      <c r="C679" t="s">
        <v>27</v>
      </c>
      <c r="D679" t="s">
        <v>64</v>
      </c>
      <c r="E679" t="s">
        <v>118</v>
      </c>
      <c r="F679" t="s">
        <v>35</v>
      </c>
      <c r="G679">
        <v>7.1</v>
      </c>
      <c r="H679">
        <v>92306</v>
      </c>
      <c r="I679" t="s">
        <v>1347</v>
      </c>
      <c r="J679">
        <v>91.3</v>
      </c>
      <c r="K679">
        <v>10.8</v>
      </c>
      <c r="L679">
        <v>92.9</v>
      </c>
      <c r="M679">
        <v>72</v>
      </c>
      <c r="N679">
        <v>65</v>
      </c>
      <c r="O679">
        <v>0</v>
      </c>
      <c r="P679">
        <v>22</v>
      </c>
      <c r="Q679" t="s">
        <v>42</v>
      </c>
      <c r="R679" t="s">
        <v>62</v>
      </c>
    </row>
    <row r="680" spans="1:18" x14ac:dyDescent="0.25">
      <c r="A680">
        <v>1679</v>
      </c>
      <c r="B680" t="s">
        <v>1348</v>
      </c>
      <c r="C680" t="s">
        <v>27</v>
      </c>
      <c r="D680" t="s">
        <v>75</v>
      </c>
      <c r="E680" t="s">
        <v>29</v>
      </c>
      <c r="F680" t="s">
        <v>76</v>
      </c>
      <c r="G680">
        <v>7.9</v>
      </c>
      <c r="H680">
        <v>76204</v>
      </c>
      <c r="I680" t="s">
        <v>1349</v>
      </c>
      <c r="J680">
        <v>91</v>
      </c>
      <c r="K680">
        <v>0</v>
      </c>
      <c r="L680">
        <v>89</v>
      </c>
      <c r="M680">
        <v>52</v>
      </c>
      <c r="N680">
        <v>42</v>
      </c>
      <c r="O680">
        <v>2</v>
      </c>
      <c r="P680">
        <v>10</v>
      </c>
      <c r="Q680" t="s">
        <v>24</v>
      </c>
      <c r="R680" t="s">
        <v>25</v>
      </c>
    </row>
    <row r="681" spans="1:18" x14ac:dyDescent="0.25">
      <c r="A681">
        <v>1680</v>
      </c>
      <c r="B681" t="s">
        <v>1350</v>
      </c>
      <c r="C681" t="s">
        <v>19</v>
      </c>
      <c r="D681" t="s">
        <v>81</v>
      </c>
      <c r="E681" t="s">
        <v>82</v>
      </c>
      <c r="F681" t="s">
        <v>35</v>
      </c>
      <c r="G681">
        <v>1.7</v>
      </c>
      <c r="H681">
        <v>32172</v>
      </c>
      <c r="I681" t="s">
        <v>1351</v>
      </c>
      <c r="J681">
        <v>90.6</v>
      </c>
      <c r="K681">
        <v>32.1</v>
      </c>
      <c r="L681">
        <v>85.6</v>
      </c>
      <c r="M681">
        <v>103</v>
      </c>
      <c r="N681">
        <v>76</v>
      </c>
      <c r="O681">
        <v>2</v>
      </c>
      <c r="P681">
        <v>14</v>
      </c>
      <c r="Q681" t="s">
        <v>37</v>
      </c>
      <c r="R681" t="s">
        <v>25</v>
      </c>
    </row>
    <row r="682" spans="1:18" x14ac:dyDescent="0.25">
      <c r="A682">
        <v>1681</v>
      </c>
      <c r="B682" t="s">
        <v>1352</v>
      </c>
      <c r="C682" t="s">
        <v>49</v>
      </c>
      <c r="D682" t="s">
        <v>50</v>
      </c>
      <c r="E682" t="s">
        <v>163</v>
      </c>
      <c r="F682" t="s">
        <v>86</v>
      </c>
      <c r="G682">
        <v>3.2</v>
      </c>
      <c r="H682">
        <v>37634</v>
      </c>
      <c r="I682" t="s">
        <v>1353</v>
      </c>
      <c r="J682">
        <v>95</v>
      </c>
      <c r="K682">
        <v>7.5</v>
      </c>
      <c r="L682">
        <v>82.5</v>
      </c>
      <c r="M682">
        <v>66</v>
      </c>
      <c r="N682">
        <v>52</v>
      </c>
      <c r="O682">
        <v>1</v>
      </c>
      <c r="P682">
        <v>2</v>
      </c>
      <c r="Q682" t="s">
        <v>42</v>
      </c>
      <c r="R682" t="s">
        <v>25</v>
      </c>
    </row>
    <row r="683" spans="1:18" x14ac:dyDescent="0.25">
      <c r="A683">
        <v>1682</v>
      </c>
      <c r="B683" t="s">
        <v>1354</v>
      </c>
      <c r="C683" t="s">
        <v>32</v>
      </c>
      <c r="D683" t="s">
        <v>67</v>
      </c>
      <c r="E683" t="s">
        <v>94</v>
      </c>
      <c r="F683" t="s">
        <v>40</v>
      </c>
      <c r="G683">
        <v>5.4</v>
      </c>
      <c r="H683">
        <v>76156</v>
      </c>
      <c r="I683" t="s">
        <v>1355</v>
      </c>
      <c r="J683">
        <v>93.6</v>
      </c>
      <c r="K683">
        <v>31.3</v>
      </c>
      <c r="L683">
        <v>82</v>
      </c>
      <c r="M683">
        <v>101</v>
      </c>
      <c r="N683">
        <v>89</v>
      </c>
      <c r="O683">
        <v>0</v>
      </c>
      <c r="P683">
        <v>19</v>
      </c>
      <c r="Q683" t="s">
        <v>37</v>
      </c>
      <c r="R683" t="s">
        <v>25</v>
      </c>
    </row>
    <row r="684" spans="1:18" x14ac:dyDescent="0.25">
      <c r="A684">
        <v>1683</v>
      </c>
      <c r="B684" t="s">
        <v>1356</v>
      </c>
      <c r="C684" t="s">
        <v>89</v>
      </c>
      <c r="D684" t="s">
        <v>102</v>
      </c>
      <c r="E684" t="s">
        <v>152</v>
      </c>
      <c r="F684" t="s">
        <v>35</v>
      </c>
      <c r="G684">
        <v>3.3</v>
      </c>
      <c r="H684">
        <v>54858</v>
      </c>
      <c r="I684" t="s">
        <v>231</v>
      </c>
      <c r="J684">
        <v>89.1</v>
      </c>
      <c r="K684">
        <v>24.7</v>
      </c>
      <c r="L684">
        <v>92.7</v>
      </c>
      <c r="M684">
        <v>108</v>
      </c>
      <c r="N684">
        <v>94</v>
      </c>
      <c r="O684">
        <v>1</v>
      </c>
      <c r="P684">
        <v>15</v>
      </c>
      <c r="Q684" t="s">
        <v>24</v>
      </c>
      <c r="R684" t="s">
        <v>62</v>
      </c>
    </row>
    <row r="685" spans="1:18" x14ac:dyDescent="0.25">
      <c r="A685">
        <v>1684</v>
      </c>
      <c r="B685" t="s">
        <v>1357</v>
      </c>
      <c r="C685" t="s">
        <v>44</v>
      </c>
      <c r="D685" t="s">
        <v>45</v>
      </c>
      <c r="E685" t="s">
        <v>55</v>
      </c>
      <c r="F685" t="s">
        <v>40</v>
      </c>
      <c r="G685">
        <v>0.2</v>
      </c>
      <c r="H685">
        <v>41416</v>
      </c>
      <c r="I685" t="s">
        <v>157</v>
      </c>
      <c r="J685">
        <v>91.6</v>
      </c>
      <c r="K685">
        <v>23.7</v>
      </c>
      <c r="L685">
        <v>76.400000000000006</v>
      </c>
      <c r="M685">
        <v>104</v>
      </c>
      <c r="N685">
        <v>78</v>
      </c>
      <c r="O685">
        <v>5</v>
      </c>
      <c r="P685">
        <v>17</v>
      </c>
      <c r="Q685" t="s">
        <v>37</v>
      </c>
      <c r="R685" t="s">
        <v>57</v>
      </c>
    </row>
    <row r="686" spans="1:18" x14ac:dyDescent="0.25">
      <c r="A686">
        <v>1685</v>
      </c>
      <c r="B686" t="s">
        <v>1358</v>
      </c>
      <c r="C686" t="s">
        <v>32</v>
      </c>
      <c r="D686" t="s">
        <v>67</v>
      </c>
      <c r="E686" t="s">
        <v>94</v>
      </c>
      <c r="F686" t="s">
        <v>40</v>
      </c>
      <c r="G686">
        <v>6.7</v>
      </c>
      <c r="H686">
        <v>76259</v>
      </c>
      <c r="I686" t="s">
        <v>1359</v>
      </c>
      <c r="J686">
        <v>97.3</v>
      </c>
      <c r="K686">
        <v>17</v>
      </c>
      <c r="L686">
        <v>83.3</v>
      </c>
      <c r="M686">
        <v>120</v>
      </c>
      <c r="N686">
        <v>104</v>
      </c>
      <c r="O686">
        <v>3</v>
      </c>
      <c r="P686">
        <v>15</v>
      </c>
      <c r="Q686" t="s">
        <v>24</v>
      </c>
      <c r="R686" t="s">
        <v>25</v>
      </c>
    </row>
    <row r="687" spans="1:18" x14ac:dyDescent="0.25">
      <c r="A687">
        <v>1686</v>
      </c>
      <c r="B687" t="s">
        <v>1360</v>
      </c>
      <c r="C687" t="s">
        <v>44</v>
      </c>
      <c r="D687" t="s">
        <v>45</v>
      </c>
      <c r="E687" t="s">
        <v>55</v>
      </c>
      <c r="F687" t="s">
        <v>35</v>
      </c>
      <c r="G687">
        <v>4.5999999999999996</v>
      </c>
      <c r="H687">
        <v>61242</v>
      </c>
      <c r="I687" t="s">
        <v>1361</v>
      </c>
      <c r="J687">
        <v>97.4</v>
      </c>
      <c r="K687">
        <v>32.5</v>
      </c>
      <c r="L687">
        <v>75.5</v>
      </c>
      <c r="M687">
        <v>112</v>
      </c>
      <c r="N687">
        <v>83</v>
      </c>
      <c r="O687">
        <v>5</v>
      </c>
      <c r="P687">
        <v>24</v>
      </c>
      <c r="Q687" t="s">
        <v>37</v>
      </c>
      <c r="R687" t="s">
        <v>57</v>
      </c>
    </row>
    <row r="688" spans="1:18" x14ac:dyDescent="0.25">
      <c r="A688">
        <v>1687</v>
      </c>
      <c r="B688" t="s">
        <v>1362</v>
      </c>
      <c r="C688" t="s">
        <v>44</v>
      </c>
      <c r="D688" t="s">
        <v>54</v>
      </c>
      <c r="E688" t="s">
        <v>46</v>
      </c>
      <c r="F688" t="s">
        <v>76</v>
      </c>
      <c r="G688">
        <v>6.5</v>
      </c>
      <c r="H688">
        <v>88180</v>
      </c>
      <c r="I688" t="s">
        <v>1363</v>
      </c>
      <c r="J688">
        <v>97</v>
      </c>
      <c r="K688">
        <v>21.7</v>
      </c>
      <c r="L688">
        <v>86.7</v>
      </c>
      <c r="M688">
        <v>74</v>
      </c>
      <c r="N688">
        <v>60</v>
      </c>
      <c r="O688">
        <v>0</v>
      </c>
      <c r="P688">
        <v>13</v>
      </c>
      <c r="Q688" t="s">
        <v>24</v>
      </c>
      <c r="R688" t="s">
        <v>25</v>
      </c>
    </row>
    <row r="689" spans="1:18" x14ac:dyDescent="0.25">
      <c r="A689">
        <v>1688</v>
      </c>
      <c r="B689" t="s">
        <v>1364</v>
      </c>
      <c r="C689" t="s">
        <v>44</v>
      </c>
      <c r="D689" t="s">
        <v>54</v>
      </c>
      <c r="E689" t="s">
        <v>55</v>
      </c>
      <c r="F689" t="s">
        <v>40</v>
      </c>
      <c r="G689">
        <v>4.3</v>
      </c>
      <c r="H689">
        <v>55206</v>
      </c>
      <c r="I689" t="s">
        <v>367</v>
      </c>
      <c r="J689">
        <v>89.7</v>
      </c>
      <c r="K689">
        <v>9.3000000000000007</v>
      </c>
      <c r="L689">
        <v>79.400000000000006</v>
      </c>
      <c r="M689">
        <v>80</v>
      </c>
      <c r="N689">
        <v>63</v>
      </c>
      <c r="O689">
        <v>5</v>
      </c>
      <c r="P689">
        <v>23</v>
      </c>
      <c r="Q689" t="s">
        <v>37</v>
      </c>
      <c r="R689" t="s">
        <v>57</v>
      </c>
    </row>
    <row r="690" spans="1:18" x14ac:dyDescent="0.25">
      <c r="A690">
        <v>1689</v>
      </c>
      <c r="B690" t="s">
        <v>1365</v>
      </c>
      <c r="C690" t="s">
        <v>44</v>
      </c>
      <c r="D690" t="s">
        <v>70</v>
      </c>
      <c r="E690" t="s">
        <v>55</v>
      </c>
      <c r="F690" t="s">
        <v>40</v>
      </c>
      <c r="G690">
        <v>6</v>
      </c>
      <c r="H690">
        <v>67764</v>
      </c>
      <c r="I690" t="s">
        <v>807</v>
      </c>
      <c r="J690">
        <v>93</v>
      </c>
      <c r="K690">
        <v>29</v>
      </c>
      <c r="L690">
        <v>72</v>
      </c>
      <c r="M690">
        <v>114</v>
      </c>
      <c r="N690">
        <v>74</v>
      </c>
      <c r="O690">
        <v>2</v>
      </c>
      <c r="P690">
        <v>23</v>
      </c>
      <c r="Q690" t="s">
        <v>37</v>
      </c>
      <c r="R690" t="s">
        <v>57</v>
      </c>
    </row>
    <row r="691" spans="1:18" x14ac:dyDescent="0.25">
      <c r="A691">
        <v>1690</v>
      </c>
      <c r="B691" t="s">
        <v>1366</v>
      </c>
      <c r="C691" t="s">
        <v>19</v>
      </c>
      <c r="D691" t="s">
        <v>20</v>
      </c>
      <c r="E691" t="s">
        <v>82</v>
      </c>
      <c r="F691" t="s">
        <v>76</v>
      </c>
      <c r="G691">
        <v>8.3000000000000007</v>
      </c>
      <c r="H691">
        <v>89676</v>
      </c>
      <c r="I691" t="s">
        <v>1367</v>
      </c>
      <c r="J691">
        <v>98.2</v>
      </c>
      <c r="K691">
        <v>26.8</v>
      </c>
      <c r="L691">
        <v>90.5</v>
      </c>
      <c r="M691">
        <v>79</v>
      </c>
      <c r="N691">
        <v>70</v>
      </c>
      <c r="O691">
        <v>3</v>
      </c>
      <c r="P691">
        <v>9</v>
      </c>
      <c r="Q691" t="s">
        <v>24</v>
      </c>
      <c r="R691" t="s">
        <v>62</v>
      </c>
    </row>
    <row r="692" spans="1:18" x14ac:dyDescent="0.25">
      <c r="A692">
        <v>1691</v>
      </c>
      <c r="B692" t="s">
        <v>1368</v>
      </c>
      <c r="C692" t="s">
        <v>19</v>
      </c>
      <c r="D692" t="s">
        <v>81</v>
      </c>
      <c r="E692" t="s">
        <v>21</v>
      </c>
      <c r="F692" t="s">
        <v>35</v>
      </c>
      <c r="G692">
        <v>3.5</v>
      </c>
      <c r="H692">
        <v>60535</v>
      </c>
      <c r="I692" t="s">
        <v>1369</v>
      </c>
      <c r="J692">
        <v>92.6</v>
      </c>
      <c r="K692">
        <v>24.2</v>
      </c>
      <c r="L692">
        <v>90.2</v>
      </c>
      <c r="M692">
        <v>114</v>
      </c>
      <c r="N692">
        <v>102</v>
      </c>
      <c r="O692">
        <v>2</v>
      </c>
      <c r="P692">
        <v>18</v>
      </c>
      <c r="Q692" t="s">
        <v>37</v>
      </c>
      <c r="R692" t="s">
        <v>62</v>
      </c>
    </row>
    <row r="693" spans="1:18" x14ac:dyDescent="0.25">
      <c r="A693">
        <v>1692</v>
      </c>
      <c r="B693" t="s">
        <v>1370</v>
      </c>
      <c r="C693" t="s">
        <v>89</v>
      </c>
      <c r="D693" t="s">
        <v>102</v>
      </c>
      <c r="E693" t="s">
        <v>152</v>
      </c>
      <c r="F693" t="s">
        <v>103</v>
      </c>
      <c r="G693">
        <v>7.7</v>
      </c>
      <c r="H693">
        <v>84392</v>
      </c>
      <c r="I693" t="s">
        <v>1371</v>
      </c>
      <c r="J693">
        <v>85.5</v>
      </c>
      <c r="K693">
        <v>10</v>
      </c>
      <c r="L693">
        <v>88.7</v>
      </c>
      <c r="M693">
        <v>75</v>
      </c>
      <c r="N693">
        <v>68</v>
      </c>
      <c r="O693">
        <v>0</v>
      </c>
      <c r="P693">
        <v>21</v>
      </c>
      <c r="Q693" t="s">
        <v>24</v>
      </c>
      <c r="R693" t="s">
        <v>25</v>
      </c>
    </row>
    <row r="694" spans="1:18" x14ac:dyDescent="0.25">
      <c r="A694">
        <v>1693</v>
      </c>
      <c r="B694" t="s">
        <v>1372</v>
      </c>
      <c r="C694" t="s">
        <v>19</v>
      </c>
      <c r="D694" t="s">
        <v>20</v>
      </c>
      <c r="E694" t="s">
        <v>39</v>
      </c>
      <c r="F694" t="s">
        <v>103</v>
      </c>
      <c r="G694">
        <v>6.1</v>
      </c>
      <c r="H694">
        <v>77893</v>
      </c>
      <c r="I694" t="s">
        <v>323</v>
      </c>
      <c r="J694">
        <v>95.6</v>
      </c>
      <c r="K694">
        <v>15.4</v>
      </c>
      <c r="L694">
        <v>83.5</v>
      </c>
      <c r="M694">
        <v>88</v>
      </c>
      <c r="N694">
        <v>69</v>
      </c>
      <c r="O694">
        <v>5</v>
      </c>
      <c r="P694">
        <v>17</v>
      </c>
      <c r="Q694" t="s">
        <v>24</v>
      </c>
      <c r="R694" t="s">
        <v>25</v>
      </c>
    </row>
    <row r="695" spans="1:18" x14ac:dyDescent="0.25">
      <c r="A695">
        <v>1694</v>
      </c>
      <c r="B695" t="s">
        <v>1373</v>
      </c>
      <c r="C695" t="s">
        <v>19</v>
      </c>
      <c r="D695" t="s">
        <v>20</v>
      </c>
      <c r="E695" t="s">
        <v>82</v>
      </c>
      <c r="F695" t="s">
        <v>35</v>
      </c>
      <c r="G695">
        <v>4</v>
      </c>
      <c r="H695">
        <v>59194</v>
      </c>
      <c r="I695" t="s">
        <v>1374</v>
      </c>
      <c r="J695">
        <v>89</v>
      </c>
      <c r="K695">
        <v>26.1</v>
      </c>
      <c r="L695">
        <v>80.900000000000006</v>
      </c>
      <c r="M695">
        <v>87</v>
      </c>
      <c r="N695">
        <v>69</v>
      </c>
      <c r="O695">
        <v>4</v>
      </c>
      <c r="P695">
        <v>15</v>
      </c>
      <c r="Q695" t="s">
        <v>37</v>
      </c>
      <c r="R695" t="s">
        <v>25</v>
      </c>
    </row>
    <row r="696" spans="1:18" x14ac:dyDescent="0.25">
      <c r="A696">
        <v>1695</v>
      </c>
      <c r="B696" t="s">
        <v>1375</v>
      </c>
      <c r="C696" t="s">
        <v>19</v>
      </c>
      <c r="D696" t="s">
        <v>137</v>
      </c>
      <c r="E696" t="s">
        <v>39</v>
      </c>
      <c r="F696" t="s">
        <v>35</v>
      </c>
      <c r="G696">
        <v>2.7</v>
      </c>
      <c r="H696">
        <v>58220</v>
      </c>
      <c r="I696" t="s">
        <v>1376</v>
      </c>
      <c r="J696">
        <v>84.8</v>
      </c>
      <c r="K696">
        <v>10.3</v>
      </c>
      <c r="L696">
        <v>75.7</v>
      </c>
      <c r="M696">
        <v>83</v>
      </c>
      <c r="N696">
        <v>67</v>
      </c>
      <c r="O696">
        <v>5</v>
      </c>
      <c r="P696">
        <v>11</v>
      </c>
      <c r="Q696" t="s">
        <v>24</v>
      </c>
      <c r="R696" t="s">
        <v>57</v>
      </c>
    </row>
    <row r="697" spans="1:18" x14ac:dyDescent="0.25">
      <c r="A697">
        <v>1696</v>
      </c>
      <c r="B697" t="s">
        <v>1377</v>
      </c>
      <c r="C697" t="s">
        <v>44</v>
      </c>
      <c r="D697" t="s">
        <v>54</v>
      </c>
      <c r="E697" t="s">
        <v>46</v>
      </c>
      <c r="F697" t="s">
        <v>86</v>
      </c>
      <c r="G697">
        <v>4.8</v>
      </c>
      <c r="H697">
        <v>75550</v>
      </c>
      <c r="I697" t="s">
        <v>1378</v>
      </c>
      <c r="J697">
        <v>96.2</v>
      </c>
      <c r="K697">
        <v>20.6</v>
      </c>
      <c r="L697">
        <v>63.3</v>
      </c>
      <c r="M697">
        <v>87</v>
      </c>
      <c r="N697">
        <v>56</v>
      </c>
      <c r="O697">
        <v>4</v>
      </c>
      <c r="P697">
        <v>9</v>
      </c>
      <c r="Q697" t="s">
        <v>37</v>
      </c>
      <c r="R697" t="s">
        <v>203</v>
      </c>
    </row>
    <row r="698" spans="1:18" x14ac:dyDescent="0.25">
      <c r="A698">
        <v>1697</v>
      </c>
      <c r="B698" t="s">
        <v>1379</v>
      </c>
      <c r="C698" t="s">
        <v>89</v>
      </c>
      <c r="D698" t="s">
        <v>102</v>
      </c>
      <c r="E698" t="s">
        <v>111</v>
      </c>
      <c r="F698" t="s">
        <v>40</v>
      </c>
      <c r="G698">
        <v>8.5</v>
      </c>
      <c r="H698">
        <v>94434</v>
      </c>
      <c r="I698" t="s">
        <v>1380</v>
      </c>
      <c r="J698">
        <v>83.4</v>
      </c>
      <c r="K698">
        <v>16.7</v>
      </c>
      <c r="L698">
        <v>75.2</v>
      </c>
      <c r="M698">
        <v>59</v>
      </c>
      <c r="N698">
        <v>40</v>
      </c>
      <c r="O698">
        <v>4</v>
      </c>
      <c r="P698">
        <v>9</v>
      </c>
      <c r="Q698" t="s">
        <v>24</v>
      </c>
      <c r="R698" t="s">
        <v>57</v>
      </c>
    </row>
    <row r="699" spans="1:18" x14ac:dyDescent="0.25">
      <c r="A699">
        <v>1698</v>
      </c>
      <c r="B699" t="s">
        <v>1381</v>
      </c>
      <c r="C699" t="s">
        <v>32</v>
      </c>
      <c r="D699" t="s">
        <v>67</v>
      </c>
      <c r="E699" t="s">
        <v>34</v>
      </c>
      <c r="F699" t="s">
        <v>40</v>
      </c>
      <c r="G699">
        <v>6.6</v>
      </c>
      <c r="H699">
        <v>76438</v>
      </c>
      <c r="I699" t="s">
        <v>1382</v>
      </c>
      <c r="J699">
        <v>90</v>
      </c>
      <c r="K699">
        <v>36.700000000000003</v>
      </c>
      <c r="L699">
        <v>85.6</v>
      </c>
      <c r="M699">
        <v>116</v>
      </c>
      <c r="N699">
        <v>100</v>
      </c>
      <c r="O699">
        <v>4</v>
      </c>
      <c r="P699">
        <v>18</v>
      </c>
      <c r="Q699" t="s">
        <v>37</v>
      </c>
      <c r="R699" t="s">
        <v>25</v>
      </c>
    </row>
    <row r="700" spans="1:18" x14ac:dyDescent="0.25">
      <c r="A700">
        <v>1699</v>
      </c>
      <c r="B700" t="s">
        <v>1383</v>
      </c>
      <c r="C700" t="s">
        <v>49</v>
      </c>
      <c r="D700" t="s">
        <v>178</v>
      </c>
      <c r="E700" t="s">
        <v>60</v>
      </c>
      <c r="F700" t="s">
        <v>86</v>
      </c>
      <c r="G700">
        <v>6.9</v>
      </c>
      <c r="H700">
        <v>95004</v>
      </c>
      <c r="I700" t="s">
        <v>1384</v>
      </c>
      <c r="J700">
        <v>96.9</v>
      </c>
      <c r="K700">
        <v>17.399999999999999</v>
      </c>
      <c r="L700">
        <v>82.5</v>
      </c>
      <c r="M700">
        <v>103</v>
      </c>
      <c r="N700">
        <v>79</v>
      </c>
      <c r="O700">
        <v>1</v>
      </c>
      <c r="P700">
        <v>13</v>
      </c>
      <c r="Q700" t="s">
        <v>42</v>
      </c>
      <c r="R700" t="s">
        <v>25</v>
      </c>
    </row>
    <row r="701" spans="1:18" x14ac:dyDescent="0.25">
      <c r="A701">
        <v>1700</v>
      </c>
      <c r="B701" t="s">
        <v>1385</v>
      </c>
      <c r="C701" t="s">
        <v>44</v>
      </c>
      <c r="D701" t="s">
        <v>54</v>
      </c>
      <c r="E701" t="s">
        <v>55</v>
      </c>
      <c r="F701" t="s">
        <v>103</v>
      </c>
      <c r="G701">
        <v>2.6</v>
      </c>
      <c r="H701">
        <v>58000</v>
      </c>
      <c r="I701" t="s">
        <v>1386</v>
      </c>
      <c r="J701">
        <v>93.5</v>
      </c>
      <c r="K701">
        <v>19.399999999999999</v>
      </c>
      <c r="L701">
        <v>72.099999999999994</v>
      </c>
      <c r="M701">
        <v>98</v>
      </c>
      <c r="N701">
        <v>63</v>
      </c>
      <c r="O701">
        <v>5</v>
      </c>
      <c r="P701">
        <v>13</v>
      </c>
      <c r="Q701" t="s">
        <v>24</v>
      </c>
      <c r="R701" t="s">
        <v>57</v>
      </c>
    </row>
    <row r="702" spans="1:18" x14ac:dyDescent="0.25">
      <c r="A702">
        <v>1701</v>
      </c>
      <c r="B702" t="s">
        <v>1387</v>
      </c>
      <c r="C702" t="s">
        <v>19</v>
      </c>
      <c r="D702" t="s">
        <v>81</v>
      </c>
      <c r="E702" t="s">
        <v>21</v>
      </c>
      <c r="F702" t="s">
        <v>103</v>
      </c>
      <c r="G702">
        <v>5.9</v>
      </c>
      <c r="H702">
        <v>75736</v>
      </c>
      <c r="I702" t="s">
        <v>1238</v>
      </c>
      <c r="J702">
        <v>89.5</v>
      </c>
      <c r="K702">
        <v>13.6</v>
      </c>
      <c r="L702">
        <v>72.099999999999994</v>
      </c>
      <c r="M702">
        <v>79</v>
      </c>
      <c r="N702">
        <v>48</v>
      </c>
      <c r="O702">
        <v>3</v>
      </c>
      <c r="P702">
        <v>7</v>
      </c>
      <c r="Q702" t="s">
        <v>24</v>
      </c>
      <c r="R702" t="s">
        <v>57</v>
      </c>
    </row>
    <row r="703" spans="1:18" x14ac:dyDescent="0.25">
      <c r="A703">
        <v>1702</v>
      </c>
      <c r="B703" t="s">
        <v>1388</v>
      </c>
      <c r="C703" t="s">
        <v>19</v>
      </c>
      <c r="D703" t="s">
        <v>20</v>
      </c>
      <c r="E703" t="s">
        <v>82</v>
      </c>
      <c r="F703" t="s">
        <v>86</v>
      </c>
      <c r="G703">
        <v>3.2</v>
      </c>
      <c r="H703">
        <v>60488</v>
      </c>
      <c r="I703" t="s">
        <v>1389</v>
      </c>
      <c r="J703">
        <v>93.1</v>
      </c>
      <c r="K703">
        <v>8.5</v>
      </c>
      <c r="L703">
        <v>80.400000000000006</v>
      </c>
      <c r="M703">
        <v>66</v>
      </c>
      <c r="N703">
        <v>56</v>
      </c>
      <c r="O703">
        <v>4</v>
      </c>
      <c r="P703">
        <v>16</v>
      </c>
      <c r="Q703" t="s">
        <v>42</v>
      </c>
      <c r="R703" t="s">
        <v>25</v>
      </c>
    </row>
    <row r="704" spans="1:18" x14ac:dyDescent="0.25">
      <c r="A704">
        <v>1703</v>
      </c>
      <c r="B704" t="s">
        <v>1390</v>
      </c>
      <c r="C704" t="s">
        <v>49</v>
      </c>
      <c r="D704" t="s">
        <v>50</v>
      </c>
      <c r="E704" t="s">
        <v>51</v>
      </c>
      <c r="F704" t="s">
        <v>103</v>
      </c>
      <c r="G704">
        <v>6.7</v>
      </c>
      <c r="H704">
        <v>87917</v>
      </c>
      <c r="I704" t="s">
        <v>1391</v>
      </c>
      <c r="J704">
        <v>89.8</v>
      </c>
      <c r="K704">
        <v>11.5</v>
      </c>
      <c r="L704">
        <v>94</v>
      </c>
      <c r="M704">
        <v>75</v>
      </c>
      <c r="N704">
        <v>75</v>
      </c>
      <c r="O704">
        <v>0</v>
      </c>
      <c r="P704">
        <v>30</v>
      </c>
      <c r="Q704" t="s">
        <v>42</v>
      </c>
      <c r="R704" t="s">
        <v>62</v>
      </c>
    </row>
    <row r="705" spans="1:18" x14ac:dyDescent="0.25">
      <c r="A705">
        <v>1704</v>
      </c>
      <c r="B705" t="s">
        <v>1392</v>
      </c>
      <c r="C705" t="s">
        <v>32</v>
      </c>
      <c r="D705" t="s">
        <v>106</v>
      </c>
      <c r="E705" t="s">
        <v>128</v>
      </c>
      <c r="F705" t="s">
        <v>103</v>
      </c>
      <c r="G705">
        <v>4.0999999999999996</v>
      </c>
      <c r="H705">
        <v>67571</v>
      </c>
      <c r="I705" t="s">
        <v>1393</v>
      </c>
      <c r="J705">
        <v>98.1</v>
      </c>
      <c r="K705">
        <v>10.6</v>
      </c>
      <c r="L705">
        <v>90.7</v>
      </c>
      <c r="M705">
        <v>99</v>
      </c>
      <c r="N705">
        <v>99</v>
      </c>
      <c r="O705">
        <v>0</v>
      </c>
      <c r="P705">
        <v>9</v>
      </c>
      <c r="Q705" t="s">
        <v>24</v>
      </c>
      <c r="R705" t="s">
        <v>62</v>
      </c>
    </row>
    <row r="706" spans="1:18" x14ac:dyDescent="0.25">
      <c r="A706">
        <v>1705</v>
      </c>
      <c r="B706" t="s">
        <v>1394</v>
      </c>
      <c r="C706" t="s">
        <v>44</v>
      </c>
      <c r="D706" t="s">
        <v>70</v>
      </c>
      <c r="E706" t="s">
        <v>55</v>
      </c>
      <c r="F706" t="s">
        <v>86</v>
      </c>
      <c r="G706">
        <v>0.2</v>
      </c>
      <c r="H706">
        <v>30473</v>
      </c>
      <c r="I706" t="s">
        <v>1395</v>
      </c>
      <c r="J706">
        <v>93.7</v>
      </c>
      <c r="K706">
        <v>25.3</v>
      </c>
      <c r="L706">
        <v>84</v>
      </c>
      <c r="M706">
        <v>95</v>
      </c>
      <c r="N706">
        <v>70</v>
      </c>
      <c r="O706">
        <v>2</v>
      </c>
      <c r="P706">
        <v>18</v>
      </c>
      <c r="Q706" t="s">
        <v>37</v>
      </c>
      <c r="R706" t="s">
        <v>25</v>
      </c>
    </row>
    <row r="707" spans="1:18" x14ac:dyDescent="0.25">
      <c r="A707">
        <v>1706</v>
      </c>
      <c r="B707" t="s">
        <v>1396</v>
      </c>
      <c r="C707" t="s">
        <v>89</v>
      </c>
      <c r="D707" t="s">
        <v>90</v>
      </c>
      <c r="E707" t="s">
        <v>111</v>
      </c>
      <c r="F707" t="s">
        <v>86</v>
      </c>
      <c r="G707">
        <v>3.1</v>
      </c>
      <c r="H707">
        <v>49879</v>
      </c>
      <c r="I707" t="s">
        <v>1397</v>
      </c>
      <c r="J707">
        <v>93.6</v>
      </c>
      <c r="K707">
        <v>14.7</v>
      </c>
      <c r="L707">
        <v>96.3</v>
      </c>
      <c r="M707">
        <v>79</v>
      </c>
      <c r="N707">
        <v>68</v>
      </c>
      <c r="O707">
        <v>2</v>
      </c>
      <c r="P707">
        <v>10</v>
      </c>
      <c r="Q707" t="s">
        <v>42</v>
      </c>
      <c r="R707" t="s">
        <v>62</v>
      </c>
    </row>
    <row r="708" spans="1:18" x14ac:dyDescent="0.25">
      <c r="A708">
        <v>1707</v>
      </c>
      <c r="B708" t="s">
        <v>1398</v>
      </c>
      <c r="C708" t="s">
        <v>27</v>
      </c>
      <c r="D708" t="s">
        <v>28</v>
      </c>
      <c r="E708" t="s">
        <v>85</v>
      </c>
      <c r="F708" t="s">
        <v>103</v>
      </c>
      <c r="G708">
        <v>5.2</v>
      </c>
      <c r="H708">
        <v>71342</v>
      </c>
      <c r="I708" t="s">
        <v>1399</v>
      </c>
      <c r="J708">
        <v>93.1</v>
      </c>
      <c r="K708">
        <v>11.9</v>
      </c>
      <c r="L708">
        <v>86.8</v>
      </c>
      <c r="M708">
        <v>62</v>
      </c>
      <c r="N708">
        <v>59</v>
      </c>
      <c r="O708">
        <v>1</v>
      </c>
      <c r="P708">
        <v>21</v>
      </c>
      <c r="Q708" t="s">
        <v>42</v>
      </c>
      <c r="R708" t="s">
        <v>25</v>
      </c>
    </row>
    <row r="709" spans="1:18" x14ac:dyDescent="0.25">
      <c r="A709">
        <v>1708</v>
      </c>
      <c r="B709" t="s">
        <v>1400</v>
      </c>
      <c r="C709" t="s">
        <v>19</v>
      </c>
      <c r="D709" t="s">
        <v>137</v>
      </c>
      <c r="E709" t="s">
        <v>39</v>
      </c>
      <c r="F709" t="s">
        <v>35</v>
      </c>
      <c r="G709">
        <v>5.2</v>
      </c>
      <c r="H709">
        <v>75977</v>
      </c>
      <c r="I709" t="s">
        <v>207</v>
      </c>
      <c r="J709">
        <v>83.5</v>
      </c>
      <c r="K709">
        <v>18.600000000000001</v>
      </c>
      <c r="L709">
        <v>84.6</v>
      </c>
      <c r="M709">
        <v>95</v>
      </c>
      <c r="N709">
        <v>84</v>
      </c>
      <c r="O709">
        <v>3</v>
      </c>
      <c r="P709">
        <v>27</v>
      </c>
      <c r="Q709" t="s">
        <v>24</v>
      </c>
      <c r="R709" t="s">
        <v>25</v>
      </c>
    </row>
    <row r="710" spans="1:18" x14ac:dyDescent="0.25">
      <c r="A710">
        <v>1709</v>
      </c>
      <c r="B710" t="s">
        <v>1401</v>
      </c>
      <c r="C710" t="s">
        <v>27</v>
      </c>
      <c r="D710" t="s">
        <v>75</v>
      </c>
      <c r="E710" t="s">
        <v>85</v>
      </c>
      <c r="F710" t="s">
        <v>103</v>
      </c>
      <c r="G710">
        <v>7.3</v>
      </c>
      <c r="H710">
        <v>82902</v>
      </c>
      <c r="I710" t="s">
        <v>1402</v>
      </c>
      <c r="J710">
        <v>89.1</v>
      </c>
      <c r="K710">
        <v>3.7</v>
      </c>
      <c r="L710">
        <v>98.3</v>
      </c>
      <c r="M710">
        <v>65</v>
      </c>
      <c r="N710">
        <v>60</v>
      </c>
      <c r="O710">
        <v>2</v>
      </c>
      <c r="P710">
        <v>19</v>
      </c>
      <c r="Q710" t="s">
        <v>42</v>
      </c>
      <c r="R710" t="s">
        <v>62</v>
      </c>
    </row>
    <row r="711" spans="1:18" x14ac:dyDescent="0.25">
      <c r="A711">
        <v>1710</v>
      </c>
      <c r="B711" t="s">
        <v>1403</v>
      </c>
      <c r="C711" t="s">
        <v>19</v>
      </c>
      <c r="D711" t="s">
        <v>81</v>
      </c>
      <c r="E711" t="s">
        <v>21</v>
      </c>
      <c r="F711" t="s">
        <v>40</v>
      </c>
      <c r="G711">
        <v>1.2</v>
      </c>
      <c r="H711">
        <v>47382</v>
      </c>
      <c r="I711" t="s">
        <v>1254</v>
      </c>
      <c r="J711">
        <v>95.3</v>
      </c>
      <c r="K711">
        <v>26.7</v>
      </c>
      <c r="L711">
        <v>84.7</v>
      </c>
      <c r="M711">
        <v>101</v>
      </c>
      <c r="N711">
        <v>90</v>
      </c>
      <c r="O711">
        <v>2</v>
      </c>
      <c r="P711">
        <v>7</v>
      </c>
      <c r="Q711" t="s">
        <v>24</v>
      </c>
      <c r="R711" t="s">
        <v>25</v>
      </c>
    </row>
    <row r="712" spans="1:18" x14ac:dyDescent="0.25">
      <c r="A712">
        <v>1711</v>
      </c>
      <c r="B712" t="s">
        <v>1404</v>
      </c>
      <c r="C712" t="s">
        <v>32</v>
      </c>
      <c r="D712" t="s">
        <v>33</v>
      </c>
      <c r="E712" t="s">
        <v>34</v>
      </c>
      <c r="F712" t="s">
        <v>76</v>
      </c>
      <c r="G712">
        <v>5.6</v>
      </c>
      <c r="H712">
        <v>70419</v>
      </c>
      <c r="I712" t="s">
        <v>1405</v>
      </c>
      <c r="J712">
        <v>93.7</v>
      </c>
      <c r="K712">
        <v>24.5</v>
      </c>
      <c r="L712">
        <v>87.1</v>
      </c>
      <c r="M712">
        <v>131</v>
      </c>
      <c r="N712">
        <v>115</v>
      </c>
      <c r="O712">
        <v>6</v>
      </c>
      <c r="P712">
        <v>25</v>
      </c>
      <c r="Q712" t="s">
        <v>24</v>
      </c>
      <c r="R712" t="s">
        <v>25</v>
      </c>
    </row>
    <row r="713" spans="1:18" x14ac:dyDescent="0.25">
      <c r="A713">
        <v>1712</v>
      </c>
      <c r="B713" t="s">
        <v>1406</v>
      </c>
      <c r="C713" t="s">
        <v>19</v>
      </c>
      <c r="D713" t="s">
        <v>137</v>
      </c>
      <c r="E713" t="s">
        <v>39</v>
      </c>
      <c r="F713" t="s">
        <v>40</v>
      </c>
      <c r="G713">
        <v>2</v>
      </c>
      <c r="H713">
        <v>49569</v>
      </c>
      <c r="I713" t="s">
        <v>1123</v>
      </c>
      <c r="J713">
        <v>94.5</v>
      </c>
      <c r="K713">
        <v>23.3</v>
      </c>
      <c r="L713">
        <v>78.8</v>
      </c>
      <c r="M713">
        <v>102</v>
      </c>
      <c r="N713">
        <v>78</v>
      </c>
      <c r="O713">
        <v>5</v>
      </c>
      <c r="P713">
        <v>10</v>
      </c>
      <c r="Q713" t="s">
        <v>24</v>
      </c>
      <c r="R713" t="s">
        <v>57</v>
      </c>
    </row>
    <row r="714" spans="1:18" x14ac:dyDescent="0.25">
      <c r="A714">
        <v>1713</v>
      </c>
      <c r="B714" t="s">
        <v>1407</v>
      </c>
      <c r="C714" t="s">
        <v>32</v>
      </c>
      <c r="D714" t="s">
        <v>33</v>
      </c>
      <c r="E714" t="s">
        <v>128</v>
      </c>
      <c r="F714" t="s">
        <v>76</v>
      </c>
      <c r="G714">
        <v>4</v>
      </c>
      <c r="H714">
        <v>71026</v>
      </c>
      <c r="I714" t="s">
        <v>1408</v>
      </c>
      <c r="J714">
        <v>88.7</v>
      </c>
      <c r="K714">
        <v>29.6</v>
      </c>
      <c r="L714">
        <v>85.5</v>
      </c>
      <c r="M714">
        <v>136</v>
      </c>
      <c r="N714">
        <v>118</v>
      </c>
      <c r="O714">
        <v>4</v>
      </c>
      <c r="P714">
        <v>18</v>
      </c>
      <c r="Q714" t="s">
        <v>37</v>
      </c>
      <c r="R714" t="s">
        <v>25</v>
      </c>
    </row>
    <row r="715" spans="1:18" x14ac:dyDescent="0.25">
      <c r="A715">
        <v>1714</v>
      </c>
      <c r="B715" t="s">
        <v>1409</v>
      </c>
      <c r="C715" t="s">
        <v>32</v>
      </c>
      <c r="D715" t="s">
        <v>33</v>
      </c>
      <c r="E715" t="s">
        <v>34</v>
      </c>
      <c r="F715" t="s">
        <v>76</v>
      </c>
      <c r="G715">
        <v>4.3</v>
      </c>
      <c r="H715">
        <v>55858</v>
      </c>
      <c r="I715" t="s">
        <v>1410</v>
      </c>
      <c r="J715">
        <v>91.1</v>
      </c>
      <c r="K715">
        <v>21.3</v>
      </c>
      <c r="L715">
        <v>91.3</v>
      </c>
      <c r="M715">
        <v>102</v>
      </c>
      <c r="N715">
        <v>91</v>
      </c>
      <c r="O715">
        <v>0</v>
      </c>
      <c r="P715">
        <v>9</v>
      </c>
      <c r="Q715" t="s">
        <v>42</v>
      </c>
      <c r="R715" t="s">
        <v>62</v>
      </c>
    </row>
    <row r="716" spans="1:18" x14ac:dyDescent="0.25">
      <c r="A716">
        <v>1715</v>
      </c>
      <c r="B716" t="s">
        <v>1411</v>
      </c>
      <c r="C716" t="s">
        <v>49</v>
      </c>
      <c r="D716" t="s">
        <v>59</v>
      </c>
      <c r="E716" t="s">
        <v>163</v>
      </c>
      <c r="F716" t="s">
        <v>86</v>
      </c>
      <c r="G716">
        <v>3</v>
      </c>
      <c r="H716">
        <v>50493</v>
      </c>
      <c r="I716" t="s">
        <v>1380</v>
      </c>
      <c r="J716">
        <v>100</v>
      </c>
      <c r="K716">
        <v>5.7</v>
      </c>
      <c r="L716">
        <v>95.4</v>
      </c>
      <c r="M716">
        <v>70</v>
      </c>
      <c r="N716">
        <v>69</v>
      </c>
      <c r="O716">
        <v>5</v>
      </c>
      <c r="P716">
        <v>19</v>
      </c>
      <c r="Q716" t="s">
        <v>24</v>
      </c>
      <c r="R716" t="s">
        <v>62</v>
      </c>
    </row>
    <row r="717" spans="1:18" x14ac:dyDescent="0.25">
      <c r="A717">
        <v>1716</v>
      </c>
      <c r="B717" t="s">
        <v>1412</v>
      </c>
      <c r="C717" t="s">
        <v>89</v>
      </c>
      <c r="D717" t="s">
        <v>90</v>
      </c>
      <c r="E717" t="s">
        <v>91</v>
      </c>
      <c r="F717" t="s">
        <v>103</v>
      </c>
      <c r="G717">
        <v>4.7</v>
      </c>
      <c r="H717">
        <v>70529</v>
      </c>
      <c r="I717" t="s">
        <v>1413</v>
      </c>
      <c r="J717">
        <v>93.1</v>
      </c>
      <c r="K717">
        <v>28.4</v>
      </c>
      <c r="L717">
        <v>90.1</v>
      </c>
      <c r="M717">
        <v>116</v>
      </c>
      <c r="N717">
        <v>104</v>
      </c>
      <c r="O717">
        <v>3</v>
      </c>
      <c r="P717">
        <v>22</v>
      </c>
      <c r="Q717" t="s">
        <v>24</v>
      </c>
      <c r="R717" t="s">
        <v>62</v>
      </c>
    </row>
    <row r="718" spans="1:18" x14ac:dyDescent="0.25">
      <c r="A718">
        <v>1717</v>
      </c>
      <c r="B718" t="s">
        <v>1414</v>
      </c>
      <c r="C718" t="s">
        <v>27</v>
      </c>
      <c r="D718" t="s">
        <v>28</v>
      </c>
      <c r="E718" t="s">
        <v>29</v>
      </c>
      <c r="F718" t="s">
        <v>86</v>
      </c>
      <c r="G718">
        <v>8.6</v>
      </c>
      <c r="H718">
        <v>95139</v>
      </c>
      <c r="I718" t="s">
        <v>1415</v>
      </c>
      <c r="J718">
        <v>100</v>
      </c>
      <c r="K718">
        <v>5.2</v>
      </c>
      <c r="L718">
        <v>90.7</v>
      </c>
      <c r="M718">
        <v>57</v>
      </c>
      <c r="N718">
        <v>54</v>
      </c>
      <c r="O718">
        <v>1</v>
      </c>
      <c r="P718">
        <v>12</v>
      </c>
      <c r="Q718" t="s">
        <v>42</v>
      </c>
      <c r="R718" t="s">
        <v>62</v>
      </c>
    </row>
    <row r="719" spans="1:18" x14ac:dyDescent="0.25">
      <c r="A719">
        <v>1718</v>
      </c>
      <c r="B719" t="s">
        <v>1416</v>
      </c>
      <c r="C719" t="s">
        <v>44</v>
      </c>
      <c r="D719" t="s">
        <v>70</v>
      </c>
      <c r="E719" t="s">
        <v>55</v>
      </c>
      <c r="F719" t="s">
        <v>22</v>
      </c>
      <c r="G719">
        <v>4</v>
      </c>
      <c r="H719">
        <v>41773</v>
      </c>
      <c r="I719" t="s">
        <v>1417</v>
      </c>
      <c r="J719">
        <v>100</v>
      </c>
      <c r="K719">
        <v>21.2</v>
      </c>
      <c r="L719">
        <v>89</v>
      </c>
      <c r="M719">
        <v>111</v>
      </c>
      <c r="N719">
        <v>89</v>
      </c>
      <c r="O719">
        <v>0</v>
      </c>
      <c r="P719">
        <v>24</v>
      </c>
      <c r="Q719" t="s">
        <v>24</v>
      </c>
      <c r="R719" t="s">
        <v>25</v>
      </c>
    </row>
    <row r="720" spans="1:18" x14ac:dyDescent="0.25">
      <c r="A720">
        <v>1719</v>
      </c>
      <c r="B720" t="s">
        <v>1418</v>
      </c>
      <c r="C720" t="s">
        <v>49</v>
      </c>
      <c r="D720" t="s">
        <v>178</v>
      </c>
      <c r="E720" t="s">
        <v>51</v>
      </c>
      <c r="F720" t="s">
        <v>40</v>
      </c>
      <c r="G720">
        <v>2.7</v>
      </c>
      <c r="H720">
        <v>46943</v>
      </c>
      <c r="I720" t="s">
        <v>749</v>
      </c>
      <c r="J720">
        <v>95.3</v>
      </c>
      <c r="K720">
        <v>14.4</v>
      </c>
      <c r="L720">
        <v>80.400000000000006</v>
      </c>
      <c r="M720">
        <v>98</v>
      </c>
      <c r="N720">
        <v>77</v>
      </c>
      <c r="O720">
        <v>4</v>
      </c>
      <c r="P720">
        <v>10</v>
      </c>
      <c r="Q720" t="s">
        <v>24</v>
      </c>
      <c r="R720" t="s">
        <v>25</v>
      </c>
    </row>
    <row r="721" spans="1:18" x14ac:dyDescent="0.25">
      <c r="A721">
        <v>1720</v>
      </c>
      <c r="B721" t="s">
        <v>1419</v>
      </c>
      <c r="C721" t="s">
        <v>32</v>
      </c>
      <c r="D721" t="s">
        <v>33</v>
      </c>
      <c r="E721" t="s">
        <v>34</v>
      </c>
      <c r="F721" t="s">
        <v>86</v>
      </c>
      <c r="G721">
        <v>5.3</v>
      </c>
      <c r="H721">
        <v>76284</v>
      </c>
      <c r="I721" t="s">
        <v>1420</v>
      </c>
      <c r="J721">
        <v>95.6</v>
      </c>
      <c r="K721">
        <v>28.7</v>
      </c>
      <c r="L721">
        <v>85.9</v>
      </c>
      <c r="M721">
        <v>109</v>
      </c>
      <c r="N721">
        <v>100</v>
      </c>
      <c r="O721">
        <v>5</v>
      </c>
      <c r="P721">
        <v>9</v>
      </c>
      <c r="Q721" t="s">
        <v>24</v>
      </c>
      <c r="R721" t="s">
        <v>25</v>
      </c>
    </row>
    <row r="722" spans="1:18" x14ac:dyDescent="0.25">
      <c r="A722">
        <v>1721</v>
      </c>
      <c r="B722" t="s">
        <v>1421</v>
      </c>
      <c r="C722" t="s">
        <v>44</v>
      </c>
      <c r="D722" t="s">
        <v>45</v>
      </c>
      <c r="E722" t="s">
        <v>46</v>
      </c>
      <c r="F722" t="s">
        <v>86</v>
      </c>
      <c r="G722">
        <v>7.2</v>
      </c>
      <c r="H722">
        <v>84765</v>
      </c>
      <c r="I722" t="s">
        <v>1422</v>
      </c>
      <c r="J722">
        <v>98.5</v>
      </c>
      <c r="K722">
        <v>24.9</v>
      </c>
      <c r="L722">
        <v>83.4</v>
      </c>
      <c r="M722">
        <v>86</v>
      </c>
      <c r="N722">
        <v>71</v>
      </c>
      <c r="O722">
        <v>3</v>
      </c>
      <c r="P722">
        <v>22</v>
      </c>
      <c r="Q722" t="s">
        <v>37</v>
      </c>
      <c r="R722" t="s">
        <v>25</v>
      </c>
    </row>
    <row r="723" spans="1:18" x14ac:dyDescent="0.25">
      <c r="A723">
        <v>1722</v>
      </c>
      <c r="B723" t="s">
        <v>1423</v>
      </c>
      <c r="C723" t="s">
        <v>44</v>
      </c>
      <c r="D723" t="s">
        <v>54</v>
      </c>
      <c r="E723" t="s">
        <v>55</v>
      </c>
      <c r="F723" t="s">
        <v>35</v>
      </c>
      <c r="G723">
        <v>5.6</v>
      </c>
      <c r="H723">
        <v>74138</v>
      </c>
      <c r="I723" t="s">
        <v>1424</v>
      </c>
      <c r="J723">
        <v>92.4</v>
      </c>
      <c r="K723">
        <v>25.6</v>
      </c>
      <c r="L723">
        <v>72.7</v>
      </c>
      <c r="M723">
        <v>78</v>
      </c>
      <c r="N723">
        <v>52</v>
      </c>
      <c r="O723">
        <v>2</v>
      </c>
      <c r="P723">
        <v>29</v>
      </c>
      <c r="Q723" t="s">
        <v>37</v>
      </c>
      <c r="R723" t="s">
        <v>57</v>
      </c>
    </row>
    <row r="724" spans="1:18" x14ac:dyDescent="0.25">
      <c r="A724">
        <v>1723</v>
      </c>
      <c r="B724" t="s">
        <v>1425</v>
      </c>
      <c r="C724" t="s">
        <v>44</v>
      </c>
      <c r="D724" t="s">
        <v>70</v>
      </c>
      <c r="E724" t="s">
        <v>46</v>
      </c>
      <c r="F724" t="s">
        <v>22</v>
      </c>
      <c r="G724">
        <v>6.8</v>
      </c>
      <c r="H724">
        <v>88089</v>
      </c>
      <c r="I724" t="s">
        <v>1426</v>
      </c>
      <c r="J724">
        <v>94.7</v>
      </c>
      <c r="K724">
        <v>23.5</v>
      </c>
      <c r="L724">
        <v>79.3</v>
      </c>
      <c r="M724">
        <v>103</v>
      </c>
      <c r="N724">
        <v>84</v>
      </c>
      <c r="O724">
        <v>2</v>
      </c>
      <c r="P724">
        <v>14</v>
      </c>
      <c r="Q724" t="s">
        <v>37</v>
      </c>
      <c r="R724" t="s">
        <v>57</v>
      </c>
    </row>
    <row r="725" spans="1:18" x14ac:dyDescent="0.25">
      <c r="A725">
        <v>1724</v>
      </c>
      <c r="B725" t="s">
        <v>1427</v>
      </c>
      <c r="C725" t="s">
        <v>44</v>
      </c>
      <c r="D725" t="s">
        <v>54</v>
      </c>
      <c r="E725" t="s">
        <v>55</v>
      </c>
      <c r="F725" t="s">
        <v>103</v>
      </c>
      <c r="G725">
        <v>3.7</v>
      </c>
      <c r="H725">
        <v>53015</v>
      </c>
      <c r="I725" t="s">
        <v>1428</v>
      </c>
      <c r="J725">
        <v>94.2</v>
      </c>
      <c r="K725">
        <v>32.4</v>
      </c>
      <c r="L725">
        <v>71.2</v>
      </c>
      <c r="M725">
        <v>124</v>
      </c>
      <c r="N725">
        <v>80</v>
      </c>
      <c r="O725">
        <v>1</v>
      </c>
      <c r="P725">
        <v>6</v>
      </c>
      <c r="Q725" t="s">
        <v>37</v>
      </c>
      <c r="R725" t="s">
        <v>57</v>
      </c>
    </row>
    <row r="726" spans="1:18" x14ac:dyDescent="0.25">
      <c r="A726">
        <v>1725</v>
      </c>
      <c r="B726" t="s">
        <v>1429</v>
      </c>
      <c r="C726" t="s">
        <v>49</v>
      </c>
      <c r="D726" t="s">
        <v>178</v>
      </c>
      <c r="E726" t="s">
        <v>51</v>
      </c>
      <c r="F726" t="s">
        <v>86</v>
      </c>
      <c r="G726">
        <v>4.5</v>
      </c>
      <c r="H726">
        <v>63839</v>
      </c>
      <c r="I726" t="s">
        <v>1430</v>
      </c>
      <c r="J726">
        <v>93.1</v>
      </c>
      <c r="K726">
        <v>24.5</v>
      </c>
      <c r="L726">
        <v>88.7</v>
      </c>
      <c r="M726">
        <v>79</v>
      </c>
      <c r="N726">
        <v>70</v>
      </c>
      <c r="O726">
        <v>2</v>
      </c>
      <c r="P726">
        <v>23</v>
      </c>
      <c r="Q726" t="s">
        <v>42</v>
      </c>
      <c r="R726" t="s">
        <v>25</v>
      </c>
    </row>
    <row r="727" spans="1:18" x14ac:dyDescent="0.25">
      <c r="A727">
        <v>1726</v>
      </c>
      <c r="B727" t="s">
        <v>1431</v>
      </c>
      <c r="C727" t="s">
        <v>27</v>
      </c>
      <c r="D727" t="s">
        <v>64</v>
      </c>
      <c r="E727" t="s">
        <v>85</v>
      </c>
      <c r="F727" t="s">
        <v>35</v>
      </c>
      <c r="G727">
        <v>1.5</v>
      </c>
      <c r="H727">
        <v>48749</v>
      </c>
      <c r="I727" t="s">
        <v>1432</v>
      </c>
      <c r="J727">
        <v>90.3</v>
      </c>
      <c r="K727">
        <v>25.9</v>
      </c>
      <c r="L727">
        <v>83.3</v>
      </c>
      <c r="M727">
        <v>77</v>
      </c>
      <c r="N727">
        <v>63</v>
      </c>
      <c r="O727">
        <v>3</v>
      </c>
      <c r="P727">
        <v>9</v>
      </c>
      <c r="Q727" t="s">
        <v>24</v>
      </c>
      <c r="R727" t="s">
        <v>25</v>
      </c>
    </row>
    <row r="728" spans="1:18" x14ac:dyDescent="0.25">
      <c r="A728">
        <v>1727</v>
      </c>
      <c r="B728" t="s">
        <v>1433</v>
      </c>
      <c r="C728" t="s">
        <v>89</v>
      </c>
      <c r="D728" t="s">
        <v>102</v>
      </c>
      <c r="E728" t="s">
        <v>111</v>
      </c>
      <c r="F728" t="s">
        <v>103</v>
      </c>
      <c r="G728">
        <v>7</v>
      </c>
      <c r="H728">
        <v>84267</v>
      </c>
      <c r="I728" t="s">
        <v>1434</v>
      </c>
      <c r="J728">
        <v>92.8</v>
      </c>
      <c r="K728">
        <v>9.9</v>
      </c>
      <c r="L728">
        <v>89.8</v>
      </c>
      <c r="M728">
        <v>77</v>
      </c>
      <c r="N728">
        <v>69</v>
      </c>
      <c r="O728">
        <v>0</v>
      </c>
      <c r="P728">
        <v>30</v>
      </c>
      <c r="Q728" t="s">
        <v>42</v>
      </c>
      <c r="R728" t="s">
        <v>25</v>
      </c>
    </row>
    <row r="729" spans="1:18" x14ac:dyDescent="0.25">
      <c r="A729">
        <v>1728</v>
      </c>
      <c r="B729" t="s">
        <v>1435</v>
      </c>
      <c r="C729" t="s">
        <v>27</v>
      </c>
      <c r="D729" t="s">
        <v>28</v>
      </c>
      <c r="E729" t="s">
        <v>118</v>
      </c>
      <c r="F729" t="s">
        <v>86</v>
      </c>
      <c r="G729">
        <v>4.2</v>
      </c>
      <c r="H729">
        <v>66151</v>
      </c>
      <c r="I729" t="s">
        <v>1436</v>
      </c>
      <c r="J729">
        <v>89</v>
      </c>
      <c r="K729">
        <v>23.1</v>
      </c>
      <c r="L729">
        <v>77.2</v>
      </c>
      <c r="M729">
        <v>79</v>
      </c>
      <c r="N729">
        <v>59</v>
      </c>
      <c r="O729">
        <v>4</v>
      </c>
      <c r="P729">
        <v>10</v>
      </c>
      <c r="Q729" t="s">
        <v>24</v>
      </c>
      <c r="R729" t="s">
        <v>57</v>
      </c>
    </row>
    <row r="730" spans="1:18" x14ac:dyDescent="0.25">
      <c r="A730">
        <v>1729</v>
      </c>
      <c r="B730" t="s">
        <v>1437</v>
      </c>
      <c r="C730" t="s">
        <v>49</v>
      </c>
      <c r="D730" t="s">
        <v>178</v>
      </c>
      <c r="E730" t="s">
        <v>60</v>
      </c>
      <c r="F730" t="s">
        <v>76</v>
      </c>
      <c r="G730">
        <v>8.3000000000000007</v>
      </c>
      <c r="H730">
        <v>88111</v>
      </c>
      <c r="I730" t="s">
        <v>1438</v>
      </c>
      <c r="J730">
        <v>97.1</v>
      </c>
      <c r="K730">
        <v>1.1000000000000001</v>
      </c>
      <c r="L730">
        <v>82.7</v>
      </c>
      <c r="M730">
        <v>47</v>
      </c>
      <c r="N730">
        <v>42</v>
      </c>
      <c r="O730">
        <v>4</v>
      </c>
      <c r="P730">
        <v>19</v>
      </c>
      <c r="Q730" t="s">
        <v>42</v>
      </c>
      <c r="R730" t="s">
        <v>25</v>
      </c>
    </row>
    <row r="731" spans="1:18" x14ac:dyDescent="0.25">
      <c r="A731">
        <v>1730</v>
      </c>
      <c r="B731" t="s">
        <v>1439</v>
      </c>
      <c r="C731" t="s">
        <v>19</v>
      </c>
      <c r="D731" t="s">
        <v>20</v>
      </c>
      <c r="E731" t="s">
        <v>21</v>
      </c>
      <c r="F731" t="s">
        <v>22</v>
      </c>
      <c r="G731">
        <v>2.6</v>
      </c>
      <c r="H731">
        <v>55328</v>
      </c>
      <c r="I731" t="s">
        <v>1440</v>
      </c>
      <c r="J731">
        <v>90.6</v>
      </c>
      <c r="K731">
        <v>8.4</v>
      </c>
      <c r="L731">
        <v>79.099999999999994</v>
      </c>
      <c r="M731">
        <v>80</v>
      </c>
      <c r="N731">
        <v>67</v>
      </c>
      <c r="O731">
        <v>6</v>
      </c>
      <c r="P731">
        <v>13</v>
      </c>
      <c r="Q731" t="s">
        <v>24</v>
      </c>
      <c r="R731" t="s">
        <v>57</v>
      </c>
    </row>
    <row r="732" spans="1:18" x14ac:dyDescent="0.25">
      <c r="A732">
        <v>1731</v>
      </c>
      <c r="B732" t="s">
        <v>1441</v>
      </c>
      <c r="C732" t="s">
        <v>44</v>
      </c>
      <c r="D732" t="s">
        <v>54</v>
      </c>
      <c r="E732" t="s">
        <v>55</v>
      </c>
      <c r="F732" t="s">
        <v>40</v>
      </c>
      <c r="G732">
        <v>3.8</v>
      </c>
      <c r="H732">
        <v>69441</v>
      </c>
      <c r="I732" t="s">
        <v>1442</v>
      </c>
      <c r="J732">
        <v>91.7</v>
      </c>
      <c r="K732">
        <v>10.7</v>
      </c>
      <c r="L732">
        <v>66.900000000000006</v>
      </c>
      <c r="M732">
        <v>82</v>
      </c>
      <c r="N732">
        <v>58</v>
      </c>
      <c r="O732">
        <v>5</v>
      </c>
      <c r="P732">
        <v>15</v>
      </c>
      <c r="Q732" t="s">
        <v>37</v>
      </c>
      <c r="R732" t="s">
        <v>203</v>
      </c>
    </row>
    <row r="733" spans="1:18" x14ac:dyDescent="0.25">
      <c r="A733">
        <v>1732</v>
      </c>
      <c r="B733" t="s">
        <v>1443</v>
      </c>
      <c r="C733" t="s">
        <v>19</v>
      </c>
      <c r="D733" t="s">
        <v>20</v>
      </c>
      <c r="E733" t="s">
        <v>21</v>
      </c>
      <c r="F733" t="s">
        <v>103</v>
      </c>
      <c r="G733">
        <v>5.9</v>
      </c>
      <c r="H733">
        <v>63695</v>
      </c>
      <c r="I733" t="s">
        <v>1336</v>
      </c>
      <c r="J733">
        <v>94.3</v>
      </c>
      <c r="K733">
        <v>15.2</v>
      </c>
      <c r="L733">
        <v>83</v>
      </c>
      <c r="M733">
        <v>80</v>
      </c>
      <c r="N733">
        <v>68</v>
      </c>
      <c r="O733">
        <v>0</v>
      </c>
      <c r="P733">
        <v>12</v>
      </c>
      <c r="Q733" t="s">
        <v>24</v>
      </c>
      <c r="R733" t="s">
        <v>25</v>
      </c>
    </row>
    <row r="734" spans="1:18" x14ac:dyDescent="0.25">
      <c r="A734">
        <v>1733</v>
      </c>
      <c r="B734" t="s">
        <v>1444</v>
      </c>
      <c r="C734" t="s">
        <v>27</v>
      </c>
      <c r="D734" t="s">
        <v>28</v>
      </c>
      <c r="E734" t="s">
        <v>85</v>
      </c>
      <c r="F734" t="s">
        <v>22</v>
      </c>
      <c r="G734">
        <v>4</v>
      </c>
      <c r="H734">
        <v>64048</v>
      </c>
      <c r="I734" t="s">
        <v>1083</v>
      </c>
      <c r="J734">
        <v>95.2</v>
      </c>
      <c r="K734">
        <v>13.9</v>
      </c>
      <c r="L734">
        <v>85.7</v>
      </c>
      <c r="M734">
        <v>76</v>
      </c>
      <c r="N734">
        <v>62</v>
      </c>
      <c r="O734">
        <v>4</v>
      </c>
      <c r="P734">
        <v>12</v>
      </c>
      <c r="Q734" t="s">
        <v>42</v>
      </c>
      <c r="R734" t="s">
        <v>25</v>
      </c>
    </row>
    <row r="735" spans="1:18" x14ac:dyDescent="0.25">
      <c r="A735">
        <v>1734</v>
      </c>
      <c r="B735" t="s">
        <v>1445</v>
      </c>
      <c r="C735" t="s">
        <v>27</v>
      </c>
      <c r="D735" t="s">
        <v>64</v>
      </c>
      <c r="E735" t="s">
        <v>85</v>
      </c>
      <c r="F735" t="s">
        <v>22</v>
      </c>
      <c r="G735">
        <v>4.5</v>
      </c>
      <c r="H735">
        <v>68674</v>
      </c>
      <c r="I735" t="s">
        <v>1446</v>
      </c>
      <c r="J735">
        <v>97.5</v>
      </c>
      <c r="K735">
        <v>9.6</v>
      </c>
      <c r="L735">
        <v>93.6</v>
      </c>
      <c r="M735">
        <v>36</v>
      </c>
      <c r="N735">
        <v>35</v>
      </c>
      <c r="O735">
        <v>1</v>
      </c>
      <c r="P735">
        <v>11</v>
      </c>
      <c r="Q735" t="s">
        <v>42</v>
      </c>
      <c r="R735" t="s">
        <v>62</v>
      </c>
    </row>
    <row r="736" spans="1:18" x14ac:dyDescent="0.25">
      <c r="A736">
        <v>1735</v>
      </c>
      <c r="B736" t="s">
        <v>1447</v>
      </c>
      <c r="C736" t="s">
        <v>44</v>
      </c>
      <c r="D736" t="s">
        <v>70</v>
      </c>
      <c r="E736" t="s">
        <v>97</v>
      </c>
      <c r="F736" t="s">
        <v>103</v>
      </c>
      <c r="G736">
        <v>0.5</v>
      </c>
      <c r="H736">
        <v>28348</v>
      </c>
      <c r="I736" t="s">
        <v>1448</v>
      </c>
      <c r="J736">
        <v>97.1</v>
      </c>
      <c r="K736">
        <v>13</v>
      </c>
      <c r="L736">
        <v>78</v>
      </c>
      <c r="M736">
        <v>81</v>
      </c>
      <c r="N736">
        <v>72</v>
      </c>
      <c r="O736">
        <v>0</v>
      </c>
      <c r="P736">
        <v>20</v>
      </c>
      <c r="Q736" t="s">
        <v>37</v>
      </c>
      <c r="R736" t="s">
        <v>57</v>
      </c>
    </row>
    <row r="737" spans="1:18" x14ac:dyDescent="0.25">
      <c r="A737">
        <v>1736</v>
      </c>
      <c r="B737" t="s">
        <v>1449</v>
      </c>
      <c r="C737" t="s">
        <v>19</v>
      </c>
      <c r="D737" t="s">
        <v>20</v>
      </c>
      <c r="E737" t="s">
        <v>21</v>
      </c>
      <c r="F737" t="s">
        <v>35</v>
      </c>
      <c r="G737">
        <v>5.4</v>
      </c>
      <c r="H737">
        <v>86247</v>
      </c>
      <c r="I737" t="s">
        <v>1450</v>
      </c>
      <c r="J737">
        <v>90.5</v>
      </c>
      <c r="K737">
        <v>26.1</v>
      </c>
      <c r="L737">
        <v>77.8</v>
      </c>
      <c r="M737">
        <v>99</v>
      </c>
      <c r="N737">
        <v>71</v>
      </c>
      <c r="O737">
        <v>5</v>
      </c>
      <c r="P737">
        <v>15</v>
      </c>
      <c r="Q737" t="s">
        <v>37</v>
      </c>
      <c r="R737" t="s">
        <v>57</v>
      </c>
    </row>
    <row r="738" spans="1:18" x14ac:dyDescent="0.25">
      <c r="A738">
        <v>1737</v>
      </c>
      <c r="B738" t="s">
        <v>1451</v>
      </c>
      <c r="C738" t="s">
        <v>32</v>
      </c>
      <c r="D738" t="s">
        <v>33</v>
      </c>
      <c r="E738" t="s">
        <v>94</v>
      </c>
      <c r="F738" t="s">
        <v>76</v>
      </c>
      <c r="G738">
        <v>0.2</v>
      </c>
      <c r="H738">
        <v>32039</v>
      </c>
      <c r="I738" t="s">
        <v>1452</v>
      </c>
      <c r="J738">
        <v>89.4</v>
      </c>
      <c r="K738">
        <v>16.899999999999999</v>
      </c>
      <c r="L738">
        <v>78.8</v>
      </c>
      <c r="M738">
        <v>116</v>
      </c>
      <c r="N738">
        <v>85</v>
      </c>
      <c r="O738">
        <v>4</v>
      </c>
      <c r="P738">
        <v>12</v>
      </c>
      <c r="Q738" t="s">
        <v>24</v>
      </c>
      <c r="R738" t="s">
        <v>57</v>
      </c>
    </row>
    <row r="739" spans="1:18" x14ac:dyDescent="0.25">
      <c r="A739">
        <v>1738</v>
      </c>
      <c r="B739" t="s">
        <v>1453</v>
      </c>
      <c r="C739" t="s">
        <v>32</v>
      </c>
      <c r="D739" t="s">
        <v>67</v>
      </c>
      <c r="E739" t="s">
        <v>34</v>
      </c>
      <c r="F739" t="s">
        <v>86</v>
      </c>
      <c r="G739">
        <v>5.2</v>
      </c>
      <c r="H739">
        <v>67879</v>
      </c>
      <c r="I739" t="s">
        <v>1454</v>
      </c>
      <c r="J739">
        <v>93.1</v>
      </c>
      <c r="K739">
        <v>36.1</v>
      </c>
      <c r="L739">
        <v>95.3</v>
      </c>
      <c r="M739">
        <v>107</v>
      </c>
      <c r="N739">
        <v>106</v>
      </c>
      <c r="O739">
        <v>0</v>
      </c>
      <c r="P739">
        <v>19</v>
      </c>
      <c r="Q739" t="s">
        <v>37</v>
      </c>
      <c r="R739" t="s">
        <v>62</v>
      </c>
    </row>
    <row r="740" spans="1:18" x14ac:dyDescent="0.25">
      <c r="A740">
        <v>1739</v>
      </c>
      <c r="B740" t="s">
        <v>1455</v>
      </c>
      <c r="C740" t="s">
        <v>49</v>
      </c>
      <c r="D740" t="s">
        <v>59</v>
      </c>
      <c r="E740" t="s">
        <v>163</v>
      </c>
      <c r="F740" t="s">
        <v>86</v>
      </c>
      <c r="G740">
        <v>3.5</v>
      </c>
      <c r="H740">
        <v>49866</v>
      </c>
      <c r="I740" t="s">
        <v>1456</v>
      </c>
      <c r="J740">
        <v>85.9</v>
      </c>
      <c r="K740">
        <v>12.6</v>
      </c>
      <c r="L740">
        <v>84.7</v>
      </c>
      <c r="M740">
        <v>63</v>
      </c>
      <c r="N740">
        <v>49</v>
      </c>
      <c r="O740">
        <v>2</v>
      </c>
      <c r="P740">
        <v>13</v>
      </c>
      <c r="Q740" t="s">
        <v>42</v>
      </c>
      <c r="R740" t="s">
        <v>25</v>
      </c>
    </row>
    <row r="741" spans="1:18" x14ac:dyDescent="0.25">
      <c r="A741">
        <v>1740</v>
      </c>
      <c r="B741" t="s">
        <v>1457</v>
      </c>
      <c r="C741" t="s">
        <v>44</v>
      </c>
      <c r="D741" t="s">
        <v>70</v>
      </c>
      <c r="E741" t="s">
        <v>97</v>
      </c>
      <c r="F741" t="s">
        <v>76</v>
      </c>
      <c r="G741">
        <v>8.8000000000000007</v>
      </c>
      <c r="H741">
        <v>101429</v>
      </c>
      <c r="I741" t="s">
        <v>1458</v>
      </c>
      <c r="J741">
        <v>90.9</v>
      </c>
      <c r="K741">
        <v>18.2</v>
      </c>
      <c r="L741">
        <v>72.8</v>
      </c>
      <c r="M741">
        <v>95</v>
      </c>
      <c r="N741">
        <v>70</v>
      </c>
      <c r="O741">
        <v>5</v>
      </c>
      <c r="P741">
        <v>20</v>
      </c>
      <c r="Q741" t="s">
        <v>37</v>
      </c>
      <c r="R741" t="s">
        <v>57</v>
      </c>
    </row>
    <row r="742" spans="1:18" x14ac:dyDescent="0.25">
      <c r="A742">
        <v>1741</v>
      </c>
      <c r="B742" t="s">
        <v>1459</v>
      </c>
      <c r="C742" t="s">
        <v>19</v>
      </c>
      <c r="D742" t="s">
        <v>137</v>
      </c>
      <c r="E742" t="s">
        <v>21</v>
      </c>
      <c r="F742" t="s">
        <v>35</v>
      </c>
      <c r="G742">
        <v>3.3</v>
      </c>
      <c r="H742">
        <v>35300</v>
      </c>
      <c r="I742" t="s">
        <v>1460</v>
      </c>
      <c r="J742">
        <v>95.7</v>
      </c>
      <c r="K742">
        <v>23.5</v>
      </c>
      <c r="L742">
        <v>77</v>
      </c>
      <c r="M742">
        <v>100</v>
      </c>
      <c r="N742">
        <v>76</v>
      </c>
      <c r="O742">
        <v>4</v>
      </c>
      <c r="P742">
        <v>7</v>
      </c>
      <c r="Q742" t="s">
        <v>24</v>
      </c>
      <c r="R742" t="s">
        <v>57</v>
      </c>
    </row>
    <row r="743" spans="1:18" x14ac:dyDescent="0.25">
      <c r="A743">
        <v>1742</v>
      </c>
      <c r="B743" t="s">
        <v>1461</v>
      </c>
      <c r="C743" t="s">
        <v>49</v>
      </c>
      <c r="D743" t="s">
        <v>50</v>
      </c>
      <c r="E743" t="s">
        <v>60</v>
      </c>
      <c r="F743" t="s">
        <v>35</v>
      </c>
      <c r="G743">
        <v>8.3000000000000007</v>
      </c>
      <c r="H743">
        <v>103314</v>
      </c>
      <c r="I743" t="s">
        <v>1462</v>
      </c>
      <c r="J743">
        <v>92.9</v>
      </c>
      <c r="K743">
        <v>11.1</v>
      </c>
      <c r="L743">
        <v>82</v>
      </c>
      <c r="M743">
        <v>80</v>
      </c>
      <c r="N743">
        <v>61</v>
      </c>
      <c r="O743">
        <v>2</v>
      </c>
      <c r="P743">
        <v>13</v>
      </c>
      <c r="Q743" t="s">
        <v>42</v>
      </c>
      <c r="R743" t="s">
        <v>25</v>
      </c>
    </row>
    <row r="744" spans="1:18" x14ac:dyDescent="0.25">
      <c r="A744">
        <v>1743</v>
      </c>
      <c r="B744" t="s">
        <v>1463</v>
      </c>
      <c r="C744" t="s">
        <v>44</v>
      </c>
      <c r="D744" t="s">
        <v>45</v>
      </c>
      <c r="E744" t="s">
        <v>46</v>
      </c>
      <c r="F744" t="s">
        <v>35</v>
      </c>
      <c r="G744">
        <v>7</v>
      </c>
      <c r="H744">
        <v>84006</v>
      </c>
      <c r="I744" t="s">
        <v>1464</v>
      </c>
      <c r="J744">
        <v>100</v>
      </c>
      <c r="K744">
        <v>25</v>
      </c>
      <c r="L744">
        <v>78.5</v>
      </c>
      <c r="M744">
        <v>79</v>
      </c>
      <c r="N744">
        <v>69</v>
      </c>
      <c r="O744">
        <v>3</v>
      </c>
      <c r="P744">
        <v>25</v>
      </c>
      <c r="Q744" t="s">
        <v>24</v>
      </c>
      <c r="R744" t="s">
        <v>57</v>
      </c>
    </row>
    <row r="745" spans="1:18" x14ac:dyDescent="0.25">
      <c r="A745">
        <v>1744</v>
      </c>
      <c r="B745" t="s">
        <v>1465</v>
      </c>
      <c r="C745" t="s">
        <v>89</v>
      </c>
      <c r="D745" t="s">
        <v>121</v>
      </c>
      <c r="E745" t="s">
        <v>91</v>
      </c>
      <c r="F745" t="s">
        <v>22</v>
      </c>
      <c r="G745">
        <v>0.2</v>
      </c>
      <c r="H745">
        <v>51589</v>
      </c>
      <c r="I745" t="s">
        <v>974</v>
      </c>
      <c r="J745">
        <v>100</v>
      </c>
      <c r="K745">
        <v>32.6</v>
      </c>
      <c r="L745">
        <v>100</v>
      </c>
      <c r="M745">
        <v>95</v>
      </c>
      <c r="N745">
        <v>95</v>
      </c>
      <c r="O745">
        <v>3</v>
      </c>
      <c r="P745">
        <v>16</v>
      </c>
      <c r="Q745" t="s">
        <v>37</v>
      </c>
      <c r="R745" t="s">
        <v>62</v>
      </c>
    </row>
    <row r="746" spans="1:18" x14ac:dyDescent="0.25">
      <c r="A746">
        <v>1745</v>
      </c>
      <c r="B746" t="s">
        <v>1466</v>
      </c>
      <c r="C746" t="s">
        <v>27</v>
      </c>
      <c r="D746" t="s">
        <v>64</v>
      </c>
      <c r="E746" t="s">
        <v>118</v>
      </c>
      <c r="F746" t="s">
        <v>40</v>
      </c>
      <c r="G746">
        <v>2.4</v>
      </c>
      <c r="H746">
        <v>50996</v>
      </c>
      <c r="I746" t="s">
        <v>1467</v>
      </c>
      <c r="J746">
        <v>94.9</v>
      </c>
      <c r="K746">
        <v>27.5</v>
      </c>
      <c r="L746">
        <v>83.3</v>
      </c>
      <c r="M746">
        <v>75</v>
      </c>
      <c r="N746">
        <v>68</v>
      </c>
      <c r="O746">
        <v>1</v>
      </c>
      <c r="P746">
        <v>10</v>
      </c>
      <c r="Q746" t="s">
        <v>24</v>
      </c>
      <c r="R746" t="s">
        <v>25</v>
      </c>
    </row>
    <row r="747" spans="1:18" x14ac:dyDescent="0.25">
      <c r="A747">
        <v>1746</v>
      </c>
      <c r="B747" t="s">
        <v>1468</v>
      </c>
      <c r="C747" t="s">
        <v>49</v>
      </c>
      <c r="D747" t="s">
        <v>59</v>
      </c>
      <c r="E747" t="s">
        <v>163</v>
      </c>
      <c r="F747" t="s">
        <v>76</v>
      </c>
      <c r="G747">
        <v>1.8</v>
      </c>
      <c r="H747">
        <v>39812</v>
      </c>
      <c r="I747" t="s">
        <v>1469</v>
      </c>
      <c r="J747">
        <v>99.9</v>
      </c>
      <c r="K747">
        <v>12.3</v>
      </c>
      <c r="L747">
        <v>97.2</v>
      </c>
      <c r="M747">
        <v>51</v>
      </c>
      <c r="N747">
        <v>49</v>
      </c>
      <c r="O747">
        <v>0</v>
      </c>
      <c r="P747">
        <v>17</v>
      </c>
      <c r="Q747" t="s">
        <v>42</v>
      </c>
      <c r="R747" t="s">
        <v>62</v>
      </c>
    </row>
    <row r="748" spans="1:18" x14ac:dyDescent="0.25">
      <c r="A748">
        <v>1747</v>
      </c>
      <c r="B748" t="s">
        <v>1470</v>
      </c>
      <c r="C748" t="s">
        <v>49</v>
      </c>
      <c r="D748" t="s">
        <v>59</v>
      </c>
      <c r="E748" t="s">
        <v>51</v>
      </c>
      <c r="F748" t="s">
        <v>76</v>
      </c>
      <c r="G748">
        <v>4.8</v>
      </c>
      <c r="H748">
        <v>72232</v>
      </c>
      <c r="I748" t="s">
        <v>1471</v>
      </c>
      <c r="J748">
        <v>87.3</v>
      </c>
      <c r="K748">
        <v>26.8</v>
      </c>
      <c r="L748">
        <v>91.5</v>
      </c>
      <c r="M748">
        <v>83</v>
      </c>
      <c r="N748">
        <v>70</v>
      </c>
      <c r="O748">
        <v>2</v>
      </c>
      <c r="P748">
        <v>23</v>
      </c>
      <c r="Q748" t="s">
        <v>42</v>
      </c>
      <c r="R748" t="s">
        <v>62</v>
      </c>
    </row>
    <row r="749" spans="1:18" x14ac:dyDescent="0.25">
      <c r="A749">
        <v>1748</v>
      </c>
      <c r="B749" t="s">
        <v>1472</v>
      </c>
      <c r="C749" t="s">
        <v>19</v>
      </c>
      <c r="D749" t="s">
        <v>137</v>
      </c>
      <c r="E749" t="s">
        <v>82</v>
      </c>
      <c r="F749" t="s">
        <v>103</v>
      </c>
      <c r="G749">
        <v>3.2</v>
      </c>
      <c r="H749">
        <v>48696</v>
      </c>
      <c r="I749" t="s">
        <v>691</v>
      </c>
      <c r="J749">
        <v>90.7</v>
      </c>
      <c r="K749">
        <v>33.200000000000003</v>
      </c>
      <c r="L749">
        <v>85.1</v>
      </c>
      <c r="M749">
        <v>81</v>
      </c>
      <c r="N749">
        <v>67</v>
      </c>
      <c r="O749">
        <v>0</v>
      </c>
      <c r="P749">
        <v>2</v>
      </c>
      <c r="Q749" t="s">
        <v>24</v>
      </c>
      <c r="R749" t="s">
        <v>25</v>
      </c>
    </row>
    <row r="750" spans="1:18" x14ac:dyDescent="0.25">
      <c r="A750">
        <v>1749</v>
      </c>
      <c r="B750" t="s">
        <v>1473</v>
      </c>
      <c r="C750" t="s">
        <v>49</v>
      </c>
      <c r="D750" t="s">
        <v>59</v>
      </c>
      <c r="E750" t="s">
        <v>51</v>
      </c>
      <c r="F750" t="s">
        <v>103</v>
      </c>
      <c r="G750">
        <v>7.6</v>
      </c>
      <c r="H750">
        <v>88971</v>
      </c>
      <c r="I750" t="s">
        <v>1474</v>
      </c>
      <c r="J750">
        <v>91.5</v>
      </c>
      <c r="K750">
        <v>18.8</v>
      </c>
      <c r="L750">
        <v>82.3</v>
      </c>
      <c r="M750">
        <v>97</v>
      </c>
      <c r="N750">
        <v>86</v>
      </c>
      <c r="O750">
        <v>4</v>
      </c>
      <c r="P750">
        <v>22</v>
      </c>
      <c r="Q750" t="s">
        <v>42</v>
      </c>
      <c r="R750" t="s">
        <v>25</v>
      </c>
    </row>
    <row r="751" spans="1:18" x14ac:dyDescent="0.25">
      <c r="A751">
        <v>1750</v>
      </c>
      <c r="B751" t="s">
        <v>1475</v>
      </c>
      <c r="C751" t="s">
        <v>19</v>
      </c>
      <c r="D751" t="s">
        <v>137</v>
      </c>
      <c r="E751" t="s">
        <v>82</v>
      </c>
      <c r="F751" t="s">
        <v>86</v>
      </c>
      <c r="G751">
        <v>2.8</v>
      </c>
      <c r="H751">
        <v>65584</v>
      </c>
      <c r="I751" t="s">
        <v>1476</v>
      </c>
      <c r="J751">
        <v>91</v>
      </c>
      <c r="K751">
        <v>27.8</v>
      </c>
      <c r="L751">
        <v>82.2</v>
      </c>
      <c r="M751">
        <v>92</v>
      </c>
      <c r="N751">
        <v>82</v>
      </c>
      <c r="O751">
        <v>4</v>
      </c>
      <c r="P751">
        <v>10</v>
      </c>
      <c r="Q751" t="s">
        <v>37</v>
      </c>
      <c r="R751" t="s">
        <v>25</v>
      </c>
    </row>
    <row r="752" spans="1:18" x14ac:dyDescent="0.25">
      <c r="A752">
        <v>1751</v>
      </c>
      <c r="B752" t="s">
        <v>1477</v>
      </c>
      <c r="C752" t="s">
        <v>44</v>
      </c>
      <c r="D752" t="s">
        <v>70</v>
      </c>
      <c r="E752" t="s">
        <v>55</v>
      </c>
      <c r="F752" t="s">
        <v>22</v>
      </c>
      <c r="G752">
        <v>2</v>
      </c>
      <c r="H752">
        <v>52802</v>
      </c>
      <c r="I752" t="s">
        <v>279</v>
      </c>
      <c r="J752">
        <v>81.7</v>
      </c>
      <c r="K752">
        <v>25.4</v>
      </c>
      <c r="L752">
        <v>69.599999999999994</v>
      </c>
      <c r="M752">
        <v>96</v>
      </c>
      <c r="N752">
        <v>75</v>
      </c>
      <c r="O752">
        <v>4</v>
      </c>
      <c r="P752">
        <v>18</v>
      </c>
      <c r="Q752" t="s">
        <v>37</v>
      </c>
      <c r="R752" t="s">
        <v>203</v>
      </c>
    </row>
    <row r="753" spans="1:18" x14ac:dyDescent="0.25">
      <c r="A753">
        <v>1752</v>
      </c>
      <c r="B753" t="s">
        <v>1478</v>
      </c>
      <c r="C753" t="s">
        <v>49</v>
      </c>
      <c r="D753" t="s">
        <v>178</v>
      </c>
      <c r="E753" t="s">
        <v>60</v>
      </c>
      <c r="F753" t="s">
        <v>76</v>
      </c>
      <c r="G753">
        <v>4.0999999999999996</v>
      </c>
      <c r="H753">
        <v>40813</v>
      </c>
      <c r="I753" t="s">
        <v>1011</v>
      </c>
      <c r="J753">
        <v>100</v>
      </c>
      <c r="K753">
        <v>16.5</v>
      </c>
      <c r="L753">
        <v>82.1</v>
      </c>
      <c r="M753">
        <v>96</v>
      </c>
      <c r="N753">
        <v>81</v>
      </c>
      <c r="O753">
        <v>1</v>
      </c>
      <c r="P753">
        <v>11</v>
      </c>
      <c r="Q753" t="s">
        <v>42</v>
      </c>
      <c r="R753" t="s">
        <v>25</v>
      </c>
    </row>
    <row r="754" spans="1:18" x14ac:dyDescent="0.25">
      <c r="A754">
        <v>1753</v>
      </c>
      <c r="B754" t="s">
        <v>1479</v>
      </c>
      <c r="C754" t="s">
        <v>27</v>
      </c>
      <c r="D754" t="s">
        <v>75</v>
      </c>
      <c r="E754" t="s">
        <v>118</v>
      </c>
      <c r="F754" t="s">
        <v>22</v>
      </c>
      <c r="G754">
        <v>0.5</v>
      </c>
      <c r="H754">
        <v>32062</v>
      </c>
      <c r="I754" t="s">
        <v>1480</v>
      </c>
      <c r="J754">
        <v>95.9</v>
      </c>
      <c r="K754">
        <v>15.5</v>
      </c>
      <c r="L754">
        <v>93.5</v>
      </c>
      <c r="M754">
        <v>55</v>
      </c>
      <c r="N754">
        <v>48</v>
      </c>
      <c r="O754">
        <v>0</v>
      </c>
      <c r="P754">
        <v>12</v>
      </c>
      <c r="Q754" t="s">
        <v>42</v>
      </c>
      <c r="R754" t="s">
        <v>62</v>
      </c>
    </row>
    <row r="755" spans="1:18" x14ac:dyDescent="0.25">
      <c r="A755">
        <v>1754</v>
      </c>
      <c r="B755" t="s">
        <v>1481</v>
      </c>
      <c r="C755" t="s">
        <v>27</v>
      </c>
      <c r="D755" t="s">
        <v>28</v>
      </c>
      <c r="E755" t="s">
        <v>85</v>
      </c>
      <c r="F755" t="s">
        <v>35</v>
      </c>
      <c r="G755">
        <v>3.5</v>
      </c>
      <c r="H755">
        <v>50394</v>
      </c>
      <c r="I755" t="s">
        <v>1482</v>
      </c>
      <c r="J755">
        <v>88.8</v>
      </c>
      <c r="K755">
        <v>5.0999999999999996</v>
      </c>
      <c r="L755">
        <v>83.3</v>
      </c>
      <c r="M755">
        <v>43</v>
      </c>
      <c r="N755">
        <v>39</v>
      </c>
      <c r="O755">
        <v>4</v>
      </c>
      <c r="P755">
        <v>16</v>
      </c>
      <c r="Q755" t="s">
        <v>24</v>
      </c>
      <c r="R755" t="s">
        <v>25</v>
      </c>
    </row>
    <row r="756" spans="1:18" x14ac:dyDescent="0.25">
      <c r="A756">
        <v>1755</v>
      </c>
      <c r="B756" t="s">
        <v>1483</v>
      </c>
      <c r="C756" t="s">
        <v>49</v>
      </c>
      <c r="D756" t="s">
        <v>178</v>
      </c>
      <c r="E756" t="s">
        <v>60</v>
      </c>
      <c r="F756" t="s">
        <v>76</v>
      </c>
      <c r="G756">
        <v>0.6</v>
      </c>
      <c r="H756">
        <v>47413</v>
      </c>
      <c r="I756" t="s">
        <v>1484</v>
      </c>
      <c r="J756">
        <v>87.7</v>
      </c>
      <c r="K756">
        <v>17</v>
      </c>
      <c r="L756">
        <v>90.1</v>
      </c>
      <c r="M756">
        <v>53</v>
      </c>
      <c r="N756">
        <v>48</v>
      </c>
      <c r="O756">
        <v>2</v>
      </c>
      <c r="P756">
        <v>25</v>
      </c>
      <c r="Q756" t="s">
        <v>24</v>
      </c>
      <c r="R756" t="s">
        <v>62</v>
      </c>
    </row>
    <row r="757" spans="1:18" x14ac:dyDescent="0.25">
      <c r="A757">
        <v>1756</v>
      </c>
      <c r="B757" t="s">
        <v>1485</v>
      </c>
      <c r="C757" t="s">
        <v>49</v>
      </c>
      <c r="D757" t="s">
        <v>178</v>
      </c>
      <c r="E757" t="s">
        <v>163</v>
      </c>
      <c r="F757" t="s">
        <v>76</v>
      </c>
      <c r="G757">
        <v>6.1</v>
      </c>
      <c r="H757">
        <v>77804</v>
      </c>
      <c r="I757" t="s">
        <v>1486</v>
      </c>
      <c r="J757">
        <v>96.5</v>
      </c>
      <c r="K757">
        <v>17.399999999999999</v>
      </c>
      <c r="L757">
        <v>83.8</v>
      </c>
      <c r="M757">
        <v>95</v>
      </c>
      <c r="N757">
        <v>88</v>
      </c>
      <c r="O757">
        <v>4</v>
      </c>
      <c r="P757">
        <v>11</v>
      </c>
      <c r="Q757" t="s">
        <v>24</v>
      </c>
      <c r="R757" t="s">
        <v>25</v>
      </c>
    </row>
    <row r="758" spans="1:18" x14ac:dyDescent="0.25">
      <c r="A758">
        <v>1757</v>
      </c>
      <c r="B758" t="s">
        <v>1487</v>
      </c>
      <c r="C758" t="s">
        <v>19</v>
      </c>
      <c r="D758" t="s">
        <v>20</v>
      </c>
      <c r="E758" t="s">
        <v>39</v>
      </c>
      <c r="F758" t="s">
        <v>86</v>
      </c>
      <c r="G758">
        <v>6</v>
      </c>
      <c r="H758">
        <v>68882</v>
      </c>
      <c r="I758" t="s">
        <v>380</v>
      </c>
      <c r="J758">
        <v>92.1</v>
      </c>
      <c r="K758">
        <v>17.100000000000001</v>
      </c>
      <c r="L758">
        <v>77</v>
      </c>
      <c r="M758">
        <v>111</v>
      </c>
      <c r="N758">
        <v>71</v>
      </c>
      <c r="O758">
        <v>7</v>
      </c>
      <c r="P758">
        <v>16</v>
      </c>
      <c r="Q758" t="s">
        <v>24</v>
      </c>
      <c r="R758" t="s">
        <v>57</v>
      </c>
    </row>
    <row r="759" spans="1:18" x14ac:dyDescent="0.25">
      <c r="A759">
        <v>1758</v>
      </c>
      <c r="B759" t="s">
        <v>1488</v>
      </c>
      <c r="C759" t="s">
        <v>44</v>
      </c>
      <c r="D759" t="s">
        <v>54</v>
      </c>
      <c r="E759" t="s">
        <v>55</v>
      </c>
      <c r="F759" t="s">
        <v>22</v>
      </c>
      <c r="G759">
        <v>1.2</v>
      </c>
      <c r="H759">
        <v>33418</v>
      </c>
      <c r="I759" t="s">
        <v>1489</v>
      </c>
      <c r="J759">
        <v>97.2</v>
      </c>
      <c r="K759">
        <v>25.2</v>
      </c>
      <c r="L759">
        <v>77.400000000000006</v>
      </c>
      <c r="M759">
        <v>94</v>
      </c>
      <c r="N759">
        <v>63</v>
      </c>
      <c r="O759">
        <v>0</v>
      </c>
      <c r="P759">
        <v>15</v>
      </c>
      <c r="Q759" t="s">
        <v>37</v>
      </c>
      <c r="R759" t="s">
        <v>57</v>
      </c>
    </row>
    <row r="760" spans="1:18" x14ac:dyDescent="0.25">
      <c r="A760">
        <v>1759</v>
      </c>
      <c r="B760" t="s">
        <v>1490</v>
      </c>
      <c r="C760" t="s">
        <v>44</v>
      </c>
      <c r="D760" t="s">
        <v>45</v>
      </c>
      <c r="E760" t="s">
        <v>46</v>
      </c>
      <c r="F760" t="s">
        <v>76</v>
      </c>
      <c r="G760">
        <v>2.5</v>
      </c>
      <c r="H760">
        <v>50461</v>
      </c>
      <c r="I760" t="s">
        <v>1491</v>
      </c>
      <c r="J760">
        <v>90.3</v>
      </c>
      <c r="K760">
        <v>32.6</v>
      </c>
      <c r="L760">
        <v>77.400000000000006</v>
      </c>
      <c r="M760">
        <v>123</v>
      </c>
      <c r="N760">
        <v>93</v>
      </c>
      <c r="O760">
        <v>4</v>
      </c>
      <c r="P760">
        <v>25</v>
      </c>
      <c r="Q760" t="s">
        <v>37</v>
      </c>
      <c r="R760" t="s">
        <v>57</v>
      </c>
    </row>
    <row r="761" spans="1:18" x14ac:dyDescent="0.25">
      <c r="A761">
        <v>1760</v>
      </c>
      <c r="B761" t="s">
        <v>1492</v>
      </c>
      <c r="C761" t="s">
        <v>89</v>
      </c>
      <c r="D761" t="s">
        <v>121</v>
      </c>
      <c r="E761" t="s">
        <v>91</v>
      </c>
      <c r="F761" t="s">
        <v>35</v>
      </c>
      <c r="G761">
        <v>7.7</v>
      </c>
      <c r="H761">
        <v>76411</v>
      </c>
      <c r="I761" t="s">
        <v>1493</v>
      </c>
      <c r="J761">
        <v>97.8</v>
      </c>
      <c r="K761">
        <v>30.6</v>
      </c>
      <c r="L761">
        <v>98.4</v>
      </c>
      <c r="M761">
        <v>90</v>
      </c>
      <c r="N761">
        <v>89</v>
      </c>
      <c r="O761">
        <v>1</v>
      </c>
      <c r="P761">
        <v>16</v>
      </c>
      <c r="Q761" t="s">
        <v>24</v>
      </c>
      <c r="R761" t="s">
        <v>62</v>
      </c>
    </row>
    <row r="762" spans="1:18" x14ac:dyDescent="0.25">
      <c r="A762">
        <v>1761</v>
      </c>
      <c r="B762" t="s">
        <v>1494</v>
      </c>
      <c r="C762" t="s">
        <v>44</v>
      </c>
      <c r="D762" t="s">
        <v>54</v>
      </c>
      <c r="E762" t="s">
        <v>97</v>
      </c>
      <c r="F762" t="s">
        <v>103</v>
      </c>
      <c r="G762">
        <v>2.6</v>
      </c>
      <c r="H762">
        <v>46884</v>
      </c>
      <c r="I762" t="s">
        <v>1495</v>
      </c>
      <c r="J762">
        <v>90.2</v>
      </c>
      <c r="K762">
        <v>22.1</v>
      </c>
      <c r="L762">
        <v>82.4</v>
      </c>
      <c r="M762">
        <v>82</v>
      </c>
      <c r="N762">
        <v>62</v>
      </c>
      <c r="O762">
        <v>0</v>
      </c>
      <c r="P762">
        <v>22</v>
      </c>
      <c r="Q762" t="s">
        <v>37</v>
      </c>
      <c r="R762" t="s">
        <v>25</v>
      </c>
    </row>
    <row r="763" spans="1:18" x14ac:dyDescent="0.25">
      <c r="A763">
        <v>1762</v>
      </c>
      <c r="B763" t="s">
        <v>1496</v>
      </c>
      <c r="C763" t="s">
        <v>89</v>
      </c>
      <c r="D763" t="s">
        <v>90</v>
      </c>
      <c r="E763" t="s">
        <v>91</v>
      </c>
      <c r="F763" t="s">
        <v>86</v>
      </c>
      <c r="G763">
        <v>5.3</v>
      </c>
      <c r="H763">
        <v>75125</v>
      </c>
      <c r="I763" t="s">
        <v>1497</v>
      </c>
      <c r="J763">
        <v>88</v>
      </c>
      <c r="K763">
        <v>20.8</v>
      </c>
      <c r="L763">
        <v>92.6</v>
      </c>
      <c r="M763">
        <v>89</v>
      </c>
      <c r="N763">
        <v>79</v>
      </c>
      <c r="O763">
        <v>3</v>
      </c>
      <c r="P763">
        <v>24</v>
      </c>
      <c r="Q763" t="s">
        <v>42</v>
      </c>
      <c r="R763" t="s">
        <v>62</v>
      </c>
    </row>
    <row r="764" spans="1:18" x14ac:dyDescent="0.25">
      <c r="A764">
        <v>1763</v>
      </c>
      <c r="B764" t="s">
        <v>1498</v>
      </c>
      <c r="C764" t="s">
        <v>89</v>
      </c>
      <c r="D764" t="s">
        <v>90</v>
      </c>
      <c r="E764" t="s">
        <v>91</v>
      </c>
      <c r="F764" t="s">
        <v>35</v>
      </c>
      <c r="G764">
        <v>5.2</v>
      </c>
      <c r="H764">
        <v>55603</v>
      </c>
      <c r="I764" t="s">
        <v>1499</v>
      </c>
      <c r="J764">
        <v>93.8</v>
      </c>
      <c r="K764">
        <v>8.4</v>
      </c>
      <c r="L764">
        <v>92.3</v>
      </c>
      <c r="M764">
        <v>68</v>
      </c>
      <c r="N764">
        <v>67</v>
      </c>
      <c r="O764">
        <v>0</v>
      </c>
      <c r="P764">
        <v>17</v>
      </c>
      <c r="Q764" t="s">
        <v>42</v>
      </c>
      <c r="R764" t="s">
        <v>62</v>
      </c>
    </row>
    <row r="765" spans="1:18" x14ac:dyDescent="0.25">
      <c r="A765">
        <v>1764</v>
      </c>
      <c r="B765" t="s">
        <v>1500</v>
      </c>
      <c r="C765" t="s">
        <v>89</v>
      </c>
      <c r="D765" t="s">
        <v>102</v>
      </c>
      <c r="E765" t="s">
        <v>91</v>
      </c>
      <c r="F765" t="s">
        <v>76</v>
      </c>
      <c r="G765">
        <v>5.7</v>
      </c>
      <c r="H765">
        <v>64227</v>
      </c>
      <c r="I765" t="s">
        <v>1501</v>
      </c>
      <c r="J765">
        <v>93.1</v>
      </c>
      <c r="K765">
        <v>12.4</v>
      </c>
      <c r="L765">
        <v>98.6</v>
      </c>
      <c r="M765">
        <v>60</v>
      </c>
      <c r="N765">
        <v>58</v>
      </c>
      <c r="O765">
        <v>2</v>
      </c>
      <c r="P765">
        <v>28</v>
      </c>
      <c r="Q765" t="s">
        <v>42</v>
      </c>
      <c r="R765" t="s">
        <v>62</v>
      </c>
    </row>
    <row r="766" spans="1:18" x14ac:dyDescent="0.25">
      <c r="A766">
        <v>1765</v>
      </c>
      <c r="B766" t="s">
        <v>1502</v>
      </c>
      <c r="C766" t="s">
        <v>44</v>
      </c>
      <c r="D766" t="s">
        <v>54</v>
      </c>
      <c r="E766" t="s">
        <v>46</v>
      </c>
      <c r="F766" t="s">
        <v>40</v>
      </c>
      <c r="G766">
        <v>2.8</v>
      </c>
      <c r="H766">
        <v>44214</v>
      </c>
      <c r="I766" t="s">
        <v>1503</v>
      </c>
      <c r="J766">
        <v>91.4</v>
      </c>
      <c r="K766">
        <v>20</v>
      </c>
      <c r="L766">
        <v>75.400000000000006</v>
      </c>
      <c r="M766">
        <v>103</v>
      </c>
      <c r="N766">
        <v>74</v>
      </c>
      <c r="O766">
        <v>4</v>
      </c>
      <c r="P766">
        <v>28</v>
      </c>
      <c r="Q766" t="s">
        <v>24</v>
      </c>
      <c r="R766" t="s">
        <v>57</v>
      </c>
    </row>
    <row r="767" spans="1:18" x14ac:dyDescent="0.25">
      <c r="A767">
        <v>1766</v>
      </c>
      <c r="B767" t="s">
        <v>1504</v>
      </c>
      <c r="C767" t="s">
        <v>49</v>
      </c>
      <c r="D767" t="s">
        <v>50</v>
      </c>
      <c r="E767" t="s">
        <v>60</v>
      </c>
      <c r="F767" t="s">
        <v>22</v>
      </c>
      <c r="G767">
        <v>0.2</v>
      </c>
      <c r="H767">
        <v>38519</v>
      </c>
      <c r="I767" t="s">
        <v>1505</v>
      </c>
      <c r="J767">
        <v>96.7</v>
      </c>
      <c r="K767">
        <v>3.8</v>
      </c>
      <c r="L767">
        <v>82.4</v>
      </c>
      <c r="M767">
        <v>77</v>
      </c>
      <c r="N767">
        <v>71</v>
      </c>
      <c r="O767">
        <v>5</v>
      </c>
      <c r="P767">
        <v>11</v>
      </c>
      <c r="Q767" t="s">
        <v>24</v>
      </c>
      <c r="R767" t="s">
        <v>25</v>
      </c>
    </row>
    <row r="768" spans="1:18" x14ac:dyDescent="0.25">
      <c r="A768">
        <v>1767</v>
      </c>
      <c r="B768" t="s">
        <v>1506</v>
      </c>
      <c r="C768" t="s">
        <v>89</v>
      </c>
      <c r="D768" t="s">
        <v>102</v>
      </c>
      <c r="E768" t="s">
        <v>91</v>
      </c>
      <c r="F768" t="s">
        <v>40</v>
      </c>
      <c r="G768">
        <v>0.8</v>
      </c>
      <c r="H768">
        <v>33547</v>
      </c>
      <c r="I768" t="s">
        <v>1507</v>
      </c>
      <c r="J768">
        <v>89</v>
      </c>
      <c r="K768">
        <v>29.4</v>
      </c>
      <c r="L768">
        <v>89.6</v>
      </c>
      <c r="M768">
        <v>76</v>
      </c>
      <c r="N768">
        <v>63</v>
      </c>
      <c r="O768">
        <v>1</v>
      </c>
      <c r="P768">
        <v>28</v>
      </c>
      <c r="Q768" t="s">
        <v>42</v>
      </c>
      <c r="R768" t="s">
        <v>25</v>
      </c>
    </row>
    <row r="769" spans="1:18" x14ac:dyDescent="0.25">
      <c r="A769">
        <v>1768</v>
      </c>
      <c r="B769" t="s">
        <v>1508</v>
      </c>
      <c r="C769" t="s">
        <v>89</v>
      </c>
      <c r="D769" t="s">
        <v>102</v>
      </c>
      <c r="E769" t="s">
        <v>111</v>
      </c>
      <c r="F769" t="s">
        <v>22</v>
      </c>
      <c r="G769">
        <v>0.2</v>
      </c>
      <c r="H769">
        <v>30946</v>
      </c>
      <c r="I769" t="s">
        <v>1509</v>
      </c>
      <c r="J769">
        <v>95.8</v>
      </c>
      <c r="K769">
        <v>1.9</v>
      </c>
      <c r="L769">
        <v>94.1</v>
      </c>
      <c r="M769">
        <v>77</v>
      </c>
      <c r="N769">
        <v>66</v>
      </c>
      <c r="O769">
        <v>0</v>
      </c>
      <c r="P769">
        <v>23</v>
      </c>
      <c r="Q769" t="s">
        <v>42</v>
      </c>
      <c r="R769" t="s">
        <v>62</v>
      </c>
    </row>
    <row r="770" spans="1:18" x14ac:dyDescent="0.25">
      <c r="A770">
        <v>1769</v>
      </c>
      <c r="B770" t="s">
        <v>1510</v>
      </c>
      <c r="C770" t="s">
        <v>32</v>
      </c>
      <c r="D770" t="s">
        <v>33</v>
      </c>
      <c r="E770" t="s">
        <v>34</v>
      </c>
      <c r="F770" t="s">
        <v>35</v>
      </c>
      <c r="G770">
        <v>3</v>
      </c>
      <c r="H770">
        <v>64436</v>
      </c>
      <c r="I770" t="s">
        <v>1367</v>
      </c>
      <c r="J770">
        <v>89</v>
      </c>
      <c r="K770">
        <v>32.200000000000003</v>
      </c>
      <c r="L770">
        <v>82.5</v>
      </c>
      <c r="M770">
        <v>94</v>
      </c>
      <c r="N770">
        <v>81</v>
      </c>
      <c r="O770">
        <v>6</v>
      </c>
      <c r="P770">
        <v>19</v>
      </c>
      <c r="Q770" t="s">
        <v>37</v>
      </c>
      <c r="R770" t="s">
        <v>25</v>
      </c>
    </row>
    <row r="771" spans="1:18" x14ac:dyDescent="0.25">
      <c r="A771">
        <v>1770</v>
      </c>
      <c r="B771" t="s">
        <v>1511</v>
      </c>
      <c r="C771" t="s">
        <v>49</v>
      </c>
      <c r="D771" t="s">
        <v>59</v>
      </c>
      <c r="E771" t="s">
        <v>163</v>
      </c>
      <c r="F771" t="s">
        <v>103</v>
      </c>
      <c r="G771">
        <v>1.6</v>
      </c>
      <c r="H771">
        <v>37163</v>
      </c>
      <c r="I771" t="s">
        <v>1512</v>
      </c>
      <c r="J771">
        <v>94.6</v>
      </c>
      <c r="K771">
        <v>12</v>
      </c>
      <c r="L771">
        <v>86.6</v>
      </c>
      <c r="M771">
        <v>85</v>
      </c>
      <c r="N771">
        <v>68</v>
      </c>
      <c r="O771">
        <v>0</v>
      </c>
      <c r="P771">
        <v>12</v>
      </c>
      <c r="Q771" t="s">
        <v>42</v>
      </c>
      <c r="R771" t="s">
        <v>25</v>
      </c>
    </row>
    <row r="772" spans="1:18" x14ac:dyDescent="0.25">
      <c r="A772">
        <v>1771</v>
      </c>
      <c r="B772" t="s">
        <v>1513</v>
      </c>
      <c r="C772" t="s">
        <v>32</v>
      </c>
      <c r="D772" t="s">
        <v>106</v>
      </c>
      <c r="E772" t="s">
        <v>128</v>
      </c>
      <c r="F772" t="s">
        <v>103</v>
      </c>
      <c r="G772">
        <v>4</v>
      </c>
      <c r="H772">
        <v>55137</v>
      </c>
      <c r="I772" t="s">
        <v>1514</v>
      </c>
      <c r="J772">
        <v>87.6</v>
      </c>
      <c r="K772">
        <v>23.5</v>
      </c>
      <c r="L772">
        <v>87.8</v>
      </c>
      <c r="M772">
        <v>136</v>
      </c>
      <c r="N772">
        <v>115</v>
      </c>
      <c r="O772">
        <v>4</v>
      </c>
      <c r="P772">
        <v>19</v>
      </c>
      <c r="Q772" t="s">
        <v>24</v>
      </c>
      <c r="R772" t="s">
        <v>25</v>
      </c>
    </row>
    <row r="773" spans="1:18" x14ac:dyDescent="0.25">
      <c r="A773">
        <v>1772</v>
      </c>
      <c r="B773" t="s">
        <v>1515</v>
      </c>
      <c r="C773" t="s">
        <v>32</v>
      </c>
      <c r="D773" t="s">
        <v>106</v>
      </c>
      <c r="E773" t="s">
        <v>128</v>
      </c>
      <c r="F773" t="s">
        <v>76</v>
      </c>
      <c r="G773">
        <v>5.8</v>
      </c>
      <c r="H773">
        <v>85613</v>
      </c>
      <c r="I773" t="s">
        <v>1516</v>
      </c>
      <c r="J773">
        <v>85.5</v>
      </c>
      <c r="K773">
        <v>9.3000000000000007</v>
      </c>
      <c r="L773">
        <v>88.6</v>
      </c>
      <c r="M773">
        <v>94</v>
      </c>
      <c r="N773">
        <v>69</v>
      </c>
      <c r="O773">
        <v>2</v>
      </c>
      <c r="P773">
        <v>12</v>
      </c>
      <c r="Q773" t="s">
        <v>24</v>
      </c>
      <c r="R773" t="s">
        <v>25</v>
      </c>
    </row>
    <row r="774" spans="1:18" x14ac:dyDescent="0.25">
      <c r="A774">
        <v>1773</v>
      </c>
      <c r="B774" t="s">
        <v>1517</v>
      </c>
      <c r="C774" t="s">
        <v>44</v>
      </c>
      <c r="D774" t="s">
        <v>70</v>
      </c>
      <c r="E774" t="s">
        <v>97</v>
      </c>
      <c r="F774" t="s">
        <v>40</v>
      </c>
      <c r="G774">
        <v>2.6</v>
      </c>
      <c r="H774">
        <v>60826</v>
      </c>
      <c r="I774" t="s">
        <v>1518</v>
      </c>
      <c r="J774">
        <v>95.3</v>
      </c>
      <c r="K774">
        <v>13.9</v>
      </c>
      <c r="L774">
        <v>78.2</v>
      </c>
      <c r="M774">
        <v>53</v>
      </c>
      <c r="N774">
        <v>40</v>
      </c>
      <c r="O774">
        <v>3</v>
      </c>
      <c r="P774">
        <v>21</v>
      </c>
      <c r="Q774" t="s">
        <v>24</v>
      </c>
      <c r="R774" t="s">
        <v>57</v>
      </c>
    </row>
    <row r="775" spans="1:18" x14ac:dyDescent="0.25">
      <c r="A775">
        <v>1774</v>
      </c>
      <c r="B775" t="s">
        <v>1519</v>
      </c>
      <c r="C775" t="s">
        <v>44</v>
      </c>
      <c r="D775" t="s">
        <v>70</v>
      </c>
      <c r="E775" t="s">
        <v>97</v>
      </c>
      <c r="F775" t="s">
        <v>40</v>
      </c>
      <c r="G775">
        <v>0.3</v>
      </c>
      <c r="H775">
        <v>39665</v>
      </c>
      <c r="I775" t="s">
        <v>1440</v>
      </c>
      <c r="J775">
        <v>91</v>
      </c>
      <c r="K775">
        <v>25.9</v>
      </c>
      <c r="L775">
        <v>78.8</v>
      </c>
      <c r="M775">
        <v>94</v>
      </c>
      <c r="N775">
        <v>68</v>
      </c>
      <c r="O775">
        <v>5</v>
      </c>
      <c r="P775">
        <v>21</v>
      </c>
      <c r="Q775" t="s">
        <v>37</v>
      </c>
      <c r="R775" t="s">
        <v>57</v>
      </c>
    </row>
    <row r="776" spans="1:18" x14ac:dyDescent="0.25">
      <c r="A776">
        <v>1775</v>
      </c>
      <c r="B776" t="s">
        <v>1520</v>
      </c>
      <c r="C776" t="s">
        <v>19</v>
      </c>
      <c r="D776" t="s">
        <v>20</v>
      </c>
      <c r="E776" t="s">
        <v>39</v>
      </c>
      <c r="F776" t="s">
        <v>76</v>
      </c>
      <c r="G776">
        <v>7.6</v>
      </c>
      <c r="H776">
        <v>79836</v>
      </c>
      <c r="I776" t="s">
        <v>1521</v>
      </c>
      <c r="J776">
        <v>93.7</v>
      </c>
      <c r="K776">
        <v>9.5</v>
      </c>
      <c r="L776">
        <v>84.6</v>
      </c>
      <c r="M776">
        <v>75</v>
      </c>
      <c r="N776">
        <v>63</v>
      </c>
      <c r="O776">
        <v>5</v>
      </c>
      <c r="P776">
        <v>18</v>
      </c>
      <c r="Q776" t="s">
        <v>24</v>
      </c>
      <c r="R776" t="s">
        <v>25</v>
      </c>
    </row>
    <row r="777" spans="1:18" x14ac:dyDescent="0.25">
      <c r="A777">
        <v>1776</v>
      </c>
      <c r="B777" t="s">
        <v>1522</v>
      </c>
      <c r="C777" t="s">
        <v>89</v>
      </c>
      <c r="D777" t="s">
        <v>121</v>
      </c>
      <c r="E777" t="s">
        <v>111</v>
      </c>
      <c r="F777" t="s">
        <v>22</v>
      </c>
      <c r="G777">
        <v>0.3</v>
      </c>
      <c r="H777">
        <v>33082</v>
      </c>
      <c r="I777" t="s">
        <v>1523</v>
      </c>
      <c r="J777">
        <v>94.5</v>
      </c>
      <c r="K777">
        <v>13.1</v>
      </c>
      <c r="L777">
        <v>88.8</v>
      </c>
      <c r="M777">
        <v>85</v>
      </c>
      <c r="N777">
        <v>76</v>
      </c>
      <c r="O777">
        <v>1</v>
      </c>
      <c r="P777">
        <v>18</v>
      </c>
      <c r="Q777" t="s">
        <v>42</v>
      </c>
      <c r="R777" t="s">
        <v>25</v>
      </c>
    </row>
    <row r="778" spans="1:18" x14ac:dyDescent="0.25">
      <c r="A778">
        <v>1777</v>
      </c>
      <c r="B778" t="s">
        <v>1524</v>
      </c>
      <c r="C778" t="s">
        <v>49</v>
      </c>
      <c r="D778" t="s">
        <v>50</v>
      </c>
      <c r="E778" t="s">
        <v>163</v>
      </c>
      <c r="F778" t="s">
        <v>103</v>
      </c>
      <c r="G778">
        <v>5.4</v>
      </c>
      <c r="H778">
        <v>68722</v>
      </c>
      <c r="I778" t="s">
        <v>1389</v>
      </c>
      <c r="J778">
        <v>98.3</v>
      </c>
      <c r="K778">
        <v>4.8</v>
      </c>
      <c r="L778">
        <v>80</v>
      </c>
      <c r="M778">
        <v>48</v>
      </c>
      <c r="N778">
        <v>37</v>
      </c>
      <c r="O778">
        <v>5</v>
      </c>
      <c r="P778">
        <v>11</v>
      </c>
      <c r="Q778" t="s">
        <v>24</v>
      </c>
      <c r="R778" t="s">
        <v>25</v>
      </c>
    </row>
    <row r="779" spans="1:18" x14ac:dyDescent="0.25">
      <c r="A779">
        <v>1778</v>
      </c>
      <c r="B779" t="s">
        <v>1525</v>
      </c>
      <c r="C779" t="s">
        <v>89</v>
      </c>
      <c r="D779" t="s">
        <v>102</v>
      </c>
      <c r="E779" t="s">
        <v>91</v>
      </c>
      <c r="F779" t="s">
        <v>103</v>
      </c>
      <c r="G779">
        <v>8.4</v>
      </c>
      <c r="H779">
        <v>83536</v>
      </c>
      <c r="I779" t="s">
        <v>1526</v>
      </c>
      <c r="J779">
        <v>97.7</v>
      </c>
      <c r="K779">
        <v>25.8</v>
      </c>
      <c r="L779">
        <v>88.7</v>
      </c>
      <c r="M779">
        <v>75</v>
      </c>
      <c r="N779">
        <v>68</v>
      </c>
      <c r="O779">
        <v>2</v>
      </c>
      <c r="P779">
        <v>7</v>
      </c>
      <c r="Q779" t="s">
        <v>24</v>
      </c>
      <c r="R779" t="s">
        <v>25</v>
      </c>
    </row>
    <row r="780" spans="1:18" x14ac:dyDescent="0.25">
      <c r="A780">
        <v>1779</v>
      </c>
      <c r="B780" t="s">
        <v>1527</v>
      </c>
      <c r="C780" t="s">
        <v>49</v>
      </c>
      <c r="D780" t="s">
        <v>50</v>
      </c>
      <c r="E780" t="s">
        <v>60</v>
      </c>
      <c r="F780" t="s">
        <v>35</v>
      </c>
      <c r="G780">
        <v>4.3</v>
      </c>
      <c r="H780">
        <v>50762</v>
      </c>
      <c r="I780" t="s">
        <v>1528</v>
      </c>
      <c r="J780">
        <v>93.7</v>
      </c>
      <c r="K780">
        <v>12.5</v>
      </c>
      <c r="L780">
        <v>92.5</v>
      </c>
      <c r="M780">
        <v>56</v>
      </c>
      <c r="N780">
        <v>53</v>
      </c>
      <c r="O780">
        <v>4</v>
      </c>
      <c r="P780">
        <v>16</v>
      </c>
      <c r="Q780" t="s">
        <v>42</v>
      </c>
      <c r="R780" t="s">
        <v>62</v>
      </c>
    </row>
    <row r="781" spans="1:18" x14ac:dyDescent="0.25">
      <c r="A781">
        <v>1780</v>
      </c>
      <c r="B781" t="s">
        <v>1529</v>
      </c>
      <c r="C781" t="s">
        <v>32</v>
      </c>
      <c r="D781" t="s">
        <v>67</v>
      </c>
      <c r="E781" t="s">
        <v>34</v>
      </c>
      <c r="F781" t="s">
        <v>103</v>
      </c>
      <c r="G781">
        <v>2.2999999999999998</v>
      </c>
      <c r="H781">
        <v>52410</v>
      </c>
      <c r="I781" t="s">
        <v>1530</v>
      </c>
      <c r="J781">
        <v>90.1</v>
      </c>
      <c r="K781">
        <v>22.2</v>
      </c>
      <c r="L781">
        <v>83.9</v>
      </c>
      <c r="M781">
        <v>99</v>
      </c>
      <c r="N781">
        <v>74</v>
      </c>
      <c r="O781">
        <v>0</v>
      </c>
      <c r="P781">
        <v>23</v>
      </c>
      <c r="Q781" t="s">
        <v>24</v>
      </c>
      <c r="R781" t="s">
        <v>25</v>
      </c>
    </row>
    <row r="782" spans="1:18" x14ac:dyDescent="0.25">
      <c r="A782">
        <v>1781</v>
      </c>
      <c r="B782" t="s">
        <v>1531</v>
      </c>
      <c r="C782" t="s">
        <v>32</v>
      </c>
      <c r="D782" t="s">
        <v>67</v>
      </c>
      <c r="E782" t="s">
        <v>34</v>
      </c>
      <c r="F782" t="s">
        <v>103</v>
      </c>
      <c r="G782">
        <v>7.9</v>
      </c>
      <c r="H782">
        <v>94659</v>
      </c>
      <c r="I782" t="s">
        <v>1532</v>
      </c>
      <c r="J782">
        <v>97.5</v>
      </c>
      <c r="K782">
        <v>19.2</v>
      </c>
      <c r="L782">
        <v>82.4</v>
      </c>
      <c r="M782">
        <v>90</v>
      </c>
      <c r="N782">
        <v>67</v>
      </c>
      <c r="O782">
        <v>0</v>
      </c>
      <c r="P782">
        <v>18</v>
      </c>
      <c r="Q782" t="s">
        <v>42</v>
      </c>
      <c r="R782" t="s">
        <v>25</v>
      </c>
    </row>
    <row r="783" spans="1:18" x14ac:dyDescent="0.25">
      <c r="A783">
        <v>1782</v>
      </c>
      <c r="B783" t="s">
        <v>1533</v>
      </c>
      <c r="C783" t="s">
        <v>19</v>
      </c>
      <c r="D783" t="s">
        <v>81</v>
      </c>
      <c r="E783" t="s">
        <v>39</v>
      </c>
      <c r="F783" t="s">
        <v>86</v>
      </c>
      <c r="G783">
        <v>5.5</v>
      </c>
      <c r="H783">
        <v>78260</v>
      </c>
      <c r="I783" t="s">
        <v>1534</v>
      </c>
      <c r="J783">
        <v>91.8</v>
      </c>
      <c r="K783">
        <v>20.3</v>
      </c>
      <c r="L783">
        <v>68.400000000000006</v>
      </c>
      <c r="M783">
        <v>98</v>
      </c>
      <c r="N783">
        <v>68</v>
      </c>
      <c r="O783">
        <v>8</v>
      </c>
      <c r="P783">
        <v>11</v>
      </c>
      <c r="Q783" t="s">
        <v>24</v>
      </c>
      <c r="R783" t="s">
        <v>203</v>
      </c>
    </row>
    <row r="784" spans="1:18" x14ac:dyDescent="0.25">
      <c r="A784">
        <v>1783</v>
      </c>
      <c r="B784" t="s">
        <v>1535</v>
      </c>
      <c r="C784" t="s">
        <v>44</v>
      </c>
      <c r="D784" t="s">
        <v>70</v>
      </c>
      <c r="E784" t="s">
        <v>46</v>
      </c>
      <c r="F784" t="s">
        <v>103</v>
      </c>
      <c r="G784">
        <v>6.4</v>
      </c>
      <c r="H784">
        <v>78984</v>
      </c>
      <c r="I784" t="s">
        <v>1536</v>
      </c>
      <c r="J784">
        <v>84.9</v>
      </c>
      <c r="K784">
        <v>7.7</v>
      </c>
      <c r="L784">
        <v>85.4</v>
      </c>
      <c r="M784">
        <v>84</v>
      </c>
      <c r="N784">
        <v>75</v>
      </c>
      <c r="O784">
        <v>2</v>
      </c>
      <c r="P784">
        <v>32</v>
      </c>
      <c r="Q784" t="s">
        <v>37</v>
      </c>
      <c r="R784" t="s">
        <v>25</v>
      </c>
    </row>
    <row r="785" spans="1:18" x14ac:dyDescent="0.25">
      <c r="A785">
        <v>1784</v>
      </c>
      <c r="B785" t="s">
        <v>1537</v>
      </c>
      <c r="C785" t="s">
        <v>27</v>
      </c>
      <c r="D785" t="s">
        <v>75</v>
      </c>
      <c r="E785" t="s">
        <v>85</v>
      </c>
      <c r="F785" t="s">
        <v>103</v>
      </c>
      <c r="G785">
        <v>2.8</v>
      </c>
      <c r="H785">
        <v>56721</v>
      </c>
      <c r="I785" t="s">
        <v>1538</v>
      </c>
      <c r="J785">
        <v>89.6</v>
      </c>
      <c r="K785">
        <v>18.7</v>
      </c>
      <c r="L785">
        <v>78.8</v>
      </c>
      <c r="M785">
        <v>84</v>
      </c>
      <c r="N785">
        <v>70</v>
      </c>
      <c r="O785">
        <v>2</v>
      </c>
      <c r="P785">
        <v>9</v>
      </c>
      <c r="Q785" t="s">
        <v>24</v>
      </c>
      <c r="R785" t="s">
        <v>57</v>
      </c>
    </row>
    <row r="786" spans="1:18" x14ac:dyDescent="0.25">
      <c r="A786">
        <v>1785</v>
      </c>
      <c r="B786" t="s">
        <v>1539</v>
      </c>
      <c r="C786" t="s">
        <v>44</v>
      </c>
      <c r="D786" t="s">
        <v>45</v>
      </c>
      <c r="E786" t="s">
        <v>97</v>
      </c>
      <c r="F786" t="s">
        <v>76</v>
      </c>
      <c r="G786">
        <v>5.0999999999999996</v>
      </c>
      <c r="H786">
        <v>69198</v>
      </c>
      <c r="I786" t="s">
        <v>1540</v>
      </c>
      <c r="J786">
        <v>99.5</v>
      </c>
      <c r="K786">
        <v>19.2</v>
      </c>
      <c r="L786">
        <v>90.3</v>
      </c>
      <c r="M786">
        <v>76</v>
      </c>
      <c r="N786">
        <v>70</v>
      </c>
      <c r="O786">
        <v>2</v>
      </c>
      <c r="P786">
        <v>32</v>
      </c>
      <c r="Q786" t="s">
        <v>24</v>
      </c>
      <c r="R786" t="s">
        <v>62</v>
      </c>
    </row>
    <row r="787" spans="1:18" x14ac:dyDescent="0.25">
      <c r="A787">
        <v>1786</v>
      </c>
      <c r="B787" t="s">
        <v>1541</v>
      </c>
      <c r="C787" t="s">
        <v>49</v>
      </c>
      <c r="D787" t="s">
        <v>50</v>
      </c>
      <c r="E787" t="s">
        <v>51</v>
      </c>
      <c r="F787" t="s">
        <v>22</v>
      </c>
      <c r="G787">
        <v>6.6</v>
      </c>
      <c r="H787">
        <v>79607</v>
      </c>
      <c r="I787" t="s">
        <v>1542</v>
      </c>
      <c r="J787">
        <v>89.7</v>
      </c>
      <c r="K787">
        <v>7.7</v>
      </c>
      <c r="L787">
        <v>86.7</v>
      </c>
      <c r="M787">
        <v>72</v>
      </c>
      <c r="N787">
        <v>68</v>
      </c>
      <c r="O787">
        <v>1</v>
      </c>
      <c r="P787">
        <v>19</v>
      </c>
      <c r="Q787" t="s">
        <v>42</v>
      </c>
      <c r="R787" t="s">
        <v>25</v>
      </c>
    </row>
    <row r="788" spans="1:18" x14ac:dyDescent="0.25">
      <c r="A788">
        <v>1787</v>
      </c>
      <c r="B788" t="s">
        <v>1543</v>
      </c>
      <c r="C788" t="s">
        <v>89</v>
      </c>
      <c r="D788" t="s">
        <v>121</v>
      </c>
      <c r="E788" t="s">
        <v>111</v>
      </c>
      <c r="F788" t="s">
        <v>103</v>
      </c>
      <c r="G788">
        <v>4</v>
      </c>
      <c r="H788">
        <v>59981</v>
      </c>
      <c r="I788" t="s">
        <v>1544</v>
      </c>
      <c r="J788">
        <v>90.5</v>
      </c>
      <c r="K788">
        <v>10.1</v>
      </c>
      <c r="L788">
        <v>85.4</v>
      </c>
      <c r="M788">
        <v>91</v>
      </c>
      <c r="N788">
        <v>74</v>
      </c>
      <c r="O788">
        <v>3</v>
      </c>
      <c r="P788">
        <v>16</v>
      </c>
      <c r="Q788" t="s">
        <v>42</v>
      </c>
      <c r="R788" t="s">
        <v>25</v>
      </c>
    </row>
    <row r="789" spans="1:18" x14ac:dyDescent="0.25">
      <c r="A789">
        <v>1788</v>
      </c>
      <c r="B789" t="s">
        <v>1545</v>
      </c>
      <c r="C789" t="s">
        <v>32</v>
      </c>
      <c r="D789" t="s">
        <v>106</v>
      </c>
      <c r="E789" t="s">
        <v>128</v>
      </c>
      <c r="F789" t="s">
        <v>22</v>
      </c>
      <c r="G789">
        <v>4.8</v>
      </c>
      <c r="H789">
        <v>60220</v>
      </c>
      <c r="I789" t="s">
        <v>1546</v>
      </c>
      <c r="J789">
        <v>96.8</v>
      </c>
      <c r="K789">
        <v>26.4</v>
      </c>
      <c r="L789">
        <v>88.9</v>
      </c>
      <c r="M789">
        <v>99</v>
      </c>
      <c r="N789">
        <v>87</v>
      </c>
      <c r="O789">
        <v>0</v>
      </c>
      <c r="P789">
        <v>20</v>
      </c>
      <c r="Q789" t="s">
        <v>24</v>
      </c>
      <c r="R789" t="s">
        <v>25</v>
      </c>
    </row>
    <row r="790" spans="1:18" x14ac:dyDescent="0.25">
      <c r="A790">
        <v>1789</v>
      </c>
      <c r="B790" t="s">
        <v>1547</v>
      </c>
      <c r="C790" t="s">
        <v>89</v>
      </c>
      <c r="D790" t="s">
        <v>90</v>
      </c>
      <c r="E790" t="s">
        <v>91</v>
      </c>
      <c r="F790" t="s">
        <v>86</v>
      </c>
      <c r="G790">
        <v>1.3</v>
      </c>
      <c r="H790">
        <v>53582</v>
      </c>
      <c r="I790" t="s">
        <v>1548</v>
      </c>
      <c r="J790">
        <v>89.3</v>
      </c>
      <c r="K790">
        <v>17.100000000000001</v>
      </c>
      <c r="L790">
        <v>95.2</v>
      </c>
      <c r="M790">
        <v>89</v>
      </c>
      <c r="N790">
        <v>89</v>
      </c>
      <c r="O790">
        <v>2</v>
      </c>
      <c r="P790">
        <v>19</v>
      </c>
      <c r="Q790" t="s">
        <v>42</v>
      </c>
      <c r="R790" t="s">
        <v>62</v>
      </c>
    </row>
    <row r="791" spans="1:18" x14ac:dyDescent="0.25">
      <c r="A791">
        <v>1790</v>
      </c>
      <c r="B791" t="s">
        <v>1549</v>
      </c>
      <c r="C791" t="s">
        <v>49</v>
      </c>
      <c r="D791" t="s">
        <v>178</v>
      </c>
      <c r="E791" t="s">
        <v>51</v>
      </c>
      <c r="F791" t="s">
        <v>76</v>
      </c>
      <c r="G791">
        <v>3.3</v>
      </c>
      <c r="H791">
        <v>77340</v>
      </c>
      <c r="I791" t="s">
        <v>1544</v>
      </c>
      <c r="J791">
        <v>97.2</v>
      </c>
      <c r="K791">
        <v>8</v>
      </c>
      <c r="L791">
        <v>83.6</v>
      </c>
      <c r="M791">
        <v>95</v>
      </c>
      <c r="N791">
        <v>81</v>
      </c>
      <c r="O791">
        <v>5</v>
      </c>
      <c r="P791">
        <v>4</v>
      </c>
      <c r="Q791" t="s">
        <v>24</v>
      </c>
      <c r="R791" t="s">
        <v>25</v>
      </c>
    </row>
    <row r="792" spans="1:18" x14ac:dyDescent="0.25">
      <c r="A792">
        <v>1791</v>
      </c>
      <c r="B792" t="s">
        <v>1550</v>
      </c>
      <c r="C792" t="s">
        <v>44</v>
      </c>
      <c r="D792" t="s">
        <v>54</v>
      </c>
      <c r="E792" t="s">
        <v>97</v>
      </c>
      <c r="F792" t="s">
        <v>22</v>
      </c>
      <c r="G792">
        <v>4.8</v>
      </c>
      <c r="H792">
        <v>71936</v>
      </c>
      <c r="I792" t="s">
        <v>1551</v>
      </c>
      <c r="J792">
        <v>94.2</v>
      </c>
      <c r="K792">
        <v>15.3</v>
      </c>
      <c r="L792">
        <v>79.099999999999994</v>
      </c>
      <c r="M792">
        <v>85</v>
      </c>
      <c r="N792">
        <v>73</v>
      </c>
      <c r="O792">
        <v>3</v>
      </c>
      <c r="P792">
        <v>17</v>
      </c>
      <c r="Q792" t="s">
        <v>24</v>
      </c>
      <c r="R792" t="s">
        <v>57</v>
      </c>
    </row>
    <row r="793" spans="1:18" x14ac:dyDescent="0.25">
      <c r="A793">
        <v>1792</v>
      </c>
      <c r="B793" t="s">
        <v>1552</v>
      </c>
      <c r="C793" t="s">
        <v>32</v>
      </c>
      <c r="D793" t="s">
        <v>106</v>
      </c>
      <c r="E793" t="s">
        <v>128</v>
      </c>
      <c r="F793" t="s">
        <v>40</v>
      </c>
      <c r="G793">
        <v>2.4</v>
      </c>
      <c r="H793">
        <v>47307</v>
      </c>
      <c r="I793" t="s">
        <v>1553</v>
      </c>
      <c r="J793">
        <v>99.1</v>
      </c>
      <c r="K793">
        <v>35.799999999999997</v>
      </c>
      <c r="L793">
        <v>86.2</v>
      </c>
      <c r="M793">
        <v>109</v>
      </c>
      <c r="N793">
        <v>90</v>
      </c>
      <c r="O793">
        <v>3</v>
      </c>
      <c r="P793">
        <v>14</v>
      </c>
      <c r="Q793" t="s">
        <v>37</v>
      </c>
      <c r="R793" t="s">
        <v>25</v>
      </c>
    </row>
    <row r="794" spans="1:18" x14ac:dyDescent="0.25">
      <c r="A794">
        <v>1793</v>
      </c>
      <c r="B794" t="s">
        <v>1554</v>
      </c>
      <c r="C794" t="s">
        <v>19</v>
      </c>
      <c r="D794" t="s">
        <v>137</v>
      </c>
      <c r="E794" t="s">
        <v>39</v>
      </c>
      <c r="F794" t="s">
        <v>103</v>
      </c>
      <c r="G794">
        <v>5.4</v>
      </c>
      <c r="H794">
        <v>80987</v>
      </c>
      <c r="I794" t="s">
        <v>1555</v>
      </c>
      <c r="J794">
        <v>99.2</v>
      </c>
      <c r="K794">
        <v>11.7</v>
      </c>
      <c r="L794">
        <v>82.1</v>
      </c>
      <c r="M794">
        <v>80</v>
      </c>
      <c r="N794">
        <v>60</v>
      </c>
      <c r="O794">
        <v>1</v>
      </c>
      <c r="P794">
        <v>6</v>
      </c>
      <c r="Q794" t="s">
        <v>24</v>
      </c>
      <c r="R794" t="s">
        <v>25</v>
      </c>
    </row>
    <row r="795" spans="1:18" x14ac:dyDescent="0.25">
      <c r="A795">
        <v>1794</v>
      </c>
      <c r="B795" t="s">
        <v>1556</v>
      </c>
      <c r="C795" t="s">
        <v>19</v>
      </c>
      <c r="D795" t="s">
        <v>137</v>
      </c>
      <c r="E795" t="s">
        <v>82</v>
      </c>
      <c r="F795" t="s">
        <v>76</v>
      </c>
      <c r="G795">
        <v>3.6</v>
      </c>
      <c r="H795">
        <v>55270</v>
      </c>
      <c r="I795" t="s">
        <v>1557</v>
      </c>
      <c r="J795">
        <v>94</v>
      </c>
      <c r="K795">
        <v>7.8</v>
      </c>
      <c r="L795">
        <v>77.5</v>
      </c>
      <c r="M795">
        <v>55</v>
      </c>
      <c r="N795">
        <v>44</v>
      </c>
      <c r="O795">
        <v>4</v>
      </c>
      <c r="P795">
        <v>19</v>
      </c>
      <c r="Q795" t="s">
        <v>37</v>
      </c>
      <c r="R795" t="s">
        <v>57</v>
      </c>
    </row>
    <row r="796" spans="1:18" x14ac:dyDescent="0.25">
      <c r="A796">
        <v>1795</v>
      </c>
      <c r="B796" t="s">
        <v>1558</v>
      </c>
      <c r="C796" t="s">
        <v>19</v>
      </c>
      <c r="D796" t="s">
        <v>81</v>
      </c>
      <c r="E796" t="s">
        <v>21</v>
      </c>
      <c r="F796" t="s">
        <v>22</v>
      </c>
      <c r="G796">
        <v>8.1</v>
      </c>
      <c r="H796">
        <v>87698</v>
      </c>
      <c r="I796" t="s">
        <v>1559</v>
      </c>
      <c r="J796">
        <v>99.5</v>
      </c>
      <c r="K796">
        <v>19.7</v>
      </c>
      <c r="L796">
        <v>86.2</v>
      </c>
      <c r="M796">
        <v>65</v>
      </c>
      <c r="N796">
        <v>50</v>
      </c>
      <c r="O796">
        <v>1</v>
      </c>
      <c r="P796">
        <v>26</v>
      </c>
      <c r="Q796" t="s">
        <v>42</v>
      </c>
      <c r="R796" t="s">
        <v>25</v>
      </c>
    </row>
    <row r="797" spans="1:18" x14ac:dyDescent="0.25">
      <c r="A797">
        <v>1796</v>
      </c>
      <c r="B797" t="s">
        <v>1560</v>
      </c>
      <c r="C797" t="s">
        <v>32</v>
      </c>
      <c r="D797" t="s">
        <v>106</v>
      </c>
      <c r="E797" t="s">
        <v>94</v>
      </c>
      <c r="F797" t="s">
        <v>40</v>
      </c>
      <c r="G797">
        <v>6.5</v>
      </c>
      <c r="H797">
        <v>77864</v>
      </c>
      <c r="I797" t="s">
        <v>1561</v>
      </c>
      <c r="J797">
        <v>90.3</v>
      </c>
      <c r="K797">
        <v>18.3</v>
      </c>
      <c r="L797">
        <v>82.7</v>
      </c>
      <c r="M797">
        <v>90</v>
      </c>
      <c r="N797">
        <v>76</v>
      </c>
      <c r="O797">
        <v>4</v>
      </c>
      <c r="P797">
        <v>7</v>
      </c>
      <c r="Q797" t="s">
        <v>24</v>
      </c>
      <c r="R797" t="s">
        <v>25</v>
      </c>
    </row>
    <row r="798" spans="1:18" x14ac:dyDescent="0.25">
      <c r="A798">
        <v>1797</v>
      </c>
      <c r="B798" t="s">
        <v>1562</v>
      </c>
      <c r="C798" t="s">
        <v>27</v>
      </c>
      <c r="D798" t="s">
        <v>75</v>
      </c>
      <c r="E798" t="s">
        <v>85</v>
      </c>
      <c r="F798" t="s">
        <v>40</v>
      </c>
      <c r="G798">
        <v>0.9</v>
      </c>
      <c r="H798">
        <v>38218</v>
      </c>
      <c r="I798" t="s">
        <v>1563</v>
      </c>
      <c r="J798">
        <v>96.7</v>
      </c>
      <c r="K798">
        <v>12.8</v>
      </c>
      <c r="L798">
        <v>88.8</v>
      </c>
      <c r="M798">
        <v>70</v>
      </c>
      <c r="N798">
        <v>63</v>
      </c>
      <c r="O798">
        <v>2</v>
      </c>
      <c r="P798">
        <v>14</v>
      </c>
      <c r="Q798" t="s">
        <v>42</v>
      </c>
      <c r="R798" t="s">
        <v>25</v>
      </c>
    </row>
    <row r="799" spans="1:18" x14ac:dyDescent="0.25">
      <c r="A799">
        <v>1798</v>
      </c>
      <c r="B799" t="s">
        <v>1564</v>
      </c>
      <c r="C799" t="s">
        <v>89</v>
      </c>
      <c r="D799" t="s">
        <v>102</v>
      </c>
      <c r="E799" t="s">
        <v>111</v>
      </c>
      <c r="F799" t="s">
        <v>22</v>
      </c>
      <c r="G799">
        <v>5.3</v>
      </c>
      <c r="H799">
        <v>66908</v>
      </c>
      <c r="I799" t="s">
        <v>100</v>
      </c>
      <c r="J799">
        <v>92.7</v>
      </c>
      <c r="K799">
        <v>18.7</v>
      </c>
      <c r="L799">
        <v>92.4</v>
      </c>
      <c r="M799">
        <v>103</v>
      </c>
      <c r="N799">
        <v>103</v>
      </c>
      <c r="O799">
        <v>1</v>
      </c>
      <c r="P799">
        <v>15</v>
      </c>
      <c r="Q799" t="s">
        <v>24</v>
      </c>
      <c r="R799" t="s">
        <v>62</v>
      </c>
    </row>
    <row r="800" spans="1:18" x14ac:dyDescent="0.25">
      <c r="A800">
        <v>1799</v>
      </c>
      <c r="B800" t="s">
        <v>1565</v>
      </c>
      <c r="C800" t="s">
        <v>89</v>
      </c>
      <c r="D800" t="s">
        <v>121</v>
      </c>
      <c r="E800" t="s">
        <v>91</v>
      </c>
      <c r="F800" t="s">
        <v>86</v>
      </c>
      <c r="G800">
        <v>5.3</v>
      </c>
      <c r="H800">
        <v>65451</v>
      </c>
      <c r="I800" t="s">
        <v>1566</v>
      </c>
      <c r="J800">
        <v>89.5</v>
      </c>
      <c r="K800">
        <v>20.9</v>
      </c>
      <c r="L800">
        <v>93.8</v>
      </c>
      <c r="M800">
        <v>75</v>
      </c>
      <c r="N800">
        <v>70</v>
      </c>
      <c r="O800">
        <v>0</v>
      </c>
      <c r="P800">
        <v>24</v>
      </c>
      <c r="Q800" t="s">
        <v>42</v>
      </c>
      <c r="R800" t="s">
        <v>62</v>
      </c>
    </row>
    <row r="801" spans="1:18" x14ac:dyDescent="0.25">
      <c r="A801">
        <v>1800</v>
      </c>
      <c r="B801" t="s">
        <v>1567</v>
      </c>
      <c r="C801" t="s">
        <v>44</v>
      </c>
      <c r="D801" t="s">
        <v>70</v>
      </c>
      <c r="E801" t="s">
        <v>55</v>
      </c>
      <c r="F801" t="s">
        <v>40</v>
      </c>
      <c r="G801">
        <v>8.1999999999999993</v>
      </c>
      <c r="H801">
        <v>85618</v>
      </c>
      <c r="I801" t="s">
        <v>1568</v>
      </c>
      <c r="J801">
        <v>95.7</v>
      </c>
      <c r="K801">
        <v>26.6</v>
      </c>
      <c r="L801">
        <v>77.599999999999994</v>
      </c>
      <c r="M801">
        <v>87</v>
      </c>
      <c r="N801">
        <v>64</v>
      </c>
      <c r="O801">
        <v>3</v>
      </c>
      <c r="P801">
        <v>16</v>
      </c>
      <c r="Q801" t="s">
        <v>37</v>
      </c>
      <c r="R801" t="s">
        <v>57</v>
      </c>
    </row>
    <row r="802" spans="1:18" x14ac:dyDescent="0.25">
      <c r="A802">
        <v>1801</v>
      </c>
      <c r="B802" t="s">
        <v>1569</v>
      </c>
      <c r="C802" t="s">
        <v>19</v>
      </c>
      <c r="D802" t="s">
        <v>81</v>
      </c>
      <c r="E802" t="s">
        <v>82</v>
      </c>
      <c r="F802" t="s">
        <v>76</v>
      </c>
      <c r="G802">
        <v>4.3</v>
      </c>
      <c r="H802">
        <v>68318</v>
      </c>
      <c r="I802" t="s">
        <v>1570</v>
      </c>
      <c r="J802">
        <v>91.5</v>
      </c>
      <c r="K802">
        <v>24.8</v>
      </c>
      <c r="L802">
        <v>76.7</v>
      </c>
      <c r="M802">
        <v>93</v>
      </c>
      <c r="N802">
        <v>66</v>
      </c>
      <c r="O802">
        <v>0</v>
      </c>
      <c r="P802">
        <v>9</v>
      </c>
      <c r="Q802" t="s">
        <v>37</v>
      </c>
      <c r="R802" t="s">
        <v>57</v>
      </c>
    </row>
    <row r="803" spans="1:18" x14ac:dyDescent="0.25">
      <c r="A803">
        <v>1802</v>
      </c>
      <c r="B803" t="s">
        <v>1571</v>
      </c>
      <c r="C803" t="s">
        <v>32</v>
      </c>
      <c r="D803" t="s">
        <v>33</v>
      </c>
      <c r="E803" t="s">
        <v>34</v>
      </c>
      <c r="F803" t="s">
        <v>35</v>
      </c>
      <c r="G803">
        <v>6.7</v>
      </c>
      <c r="H803">
        <v>72216</v>
      </c>
      <c r="I803" t="s">
        <v>1572</v>
      </c>
      <c r="J803">
        <v>94.8</v>
      </c>
      <c r="K803">
        <v>28.4</v>
      </c>
      <c r="L803">
        <v>88.2</v>
      </c>
      <c r="M803">
        <v>96</v>
      </c>
      <c r="N803">
        <v>80</v>
      </c>
      <c r="O803">
        <v>0</v>
      </c>
      <c r="P803">
        <v>22</v>
      </c>
      <c r="Q803" t="s">
        <v>24</v>
      </c>
      <c r="R803" t="s">
        <v>25</v>
      </c>
    </row>
    <row r="804" spans="1:18" x14ac:dyDescent="0.25">
      <c r="A804">
        <v>1803</v>
      </c>
      <c r="B804" t="s">
        <v>1573</v>
      </c>
      <c r="C804" t="s">
        <v>19</v>
      </c>
      <c r="D804" t="s">
        <v>81</v>
      </c>
      <c r="E804" t="s">
        <v>39</v>
      </c>
      <c r="F804" t="s">
        <v>40</v>
      </c>
      <c r="G804">
        <v>4.0999999999999996</v>
      </c>
      <c r="H804">
        <v>75668</v>
      </c>
      <c r="I804" t="s">
        <v>978</v>
      </c>
      <c r="J804">
        <v>93.9</v>
      </c>
      <c r="K804">
        <v>18.3</v>
      </c>
      <c r="L804">
        <v>81.5</v>
      </c>
      <c r="M804">
        <v>106</v>
      </c>
      <c r="N804">
        <v>95</v>
      </c>
      <c r="O804">
        <v>4</v>
      </c>
      <c r="P804">
        <v>3</v>
      </c>
      <c r="Q804" t="s">
        <v>42</v>
      </c>
      <c r="R804" t="s">
        <v>25</v>
      </c>
    </row>
    <row r="805" spans="1:18" x14ac:dyDescent="0.25">
      <c r="A805">
        <v>1804</v>
      </c>
      <c r="B805" t="s">
        <v>1574</v>
      </c>
      <c r="C805" t="s">
        <v>32</v>
      </c>
      <c r="D805" t="s">
        <v>33</v>
      </c>
      <c r="E805" t="s">
        <v>128</v>
      </c>
      <c r="F805" t="s">
        <v>22</v>
      </c>
      <c r="G805">
        <v>3.9</v>
      </c>
      <c r="H805">
        <v>64073</v>
      </c>
      <c r="I805" t="s">
        <v>847</v>
      </c>
      <c r="J805">
        <v>98.7</v>
      </c>
      <c r="K805">
        <v>34.1</v>
      </c>
      <c r="L805">
        <v>85.2</v>
      </c>
      <c r="M805">
        <v>109</v>
      </c>
      <c r="N805">
        <v>86</v>
      </c>
      <c r="O805">
        <v>3</v>
      </c>
      <c r="P805">
        <v>9</v>
      </c>
      <c r="Q805" t="s">
        <v>37</v>
      </c>
      <c r="R805" t="s">
        <v>25</v>
      </c>
    </row>
    <row r="806" spans="1:18" x14ac:dyDescent="0.25">
      <c r="A806">
        <v>1805</v>
      </c>
      <c r="B806" t="s">
        <v>1575</v>
      </c>
      <c r="C806" t="s">
        <v>27</v>
      </c>
      <c r="D806" t="s">
        <v>28</v>
      </c>
      <c r="E806" t="s">
        <v>118</v>
      </c>
      <c r="F806" t="s">
        <v>103</v>
      </c>
      <c r="G806">
        <v>6.4</v>
      </c>
      <c r="H806">
        <v>74074</v>
      </c>
      <c r="I806" t="s">
        <v>1576</v>
      </c>
      <c r="J806">
        <v>89.3</v>
      </c>
      <c r="K806">
        <v>1.9</v>
      </c>
      <c r="L806">
        <v>84.5</v>
      </c>
      <c r="M806">
        <v>67</v>
      </c>
      <c r="N806">
        <v>55</v>
      </c>
      <c r="O806">
        <v>3</v>
      </c>
      <c r="P806">
        <v>5</v>
      </c>
      <c r="Q806" t="s">
        <v>42</v>
      </c>
      <c r="R806" t="s">
        <v>25</v>
      </c>
    </row>
    <row r="807" spans="1:18" x14ac:dyDescent="0.25">
      <c r="A807">
        <v>1806</v>
      </c>
      <c r="B807" t="s">
        <v>1577</v>
      </c>
      <c r="C807" t="s">
        <v>89</v>
      </c>
      <c r="D807" t="s">
        <v>90</v>
      </c>
      <c r="E807" t="s">
        <v>111</v>
      </c>
      <c r="F807" t="s">
        <v>40</v>
      </c>
      <c r="G807">
        <v>5.0999999999999996</v>
      </c>
      <c r="H807">
        <v>73040</v>
      </c>
      <c r="I807" t="s">
        <v>138</v>
      </c>
      <c r="J807">
        <v>92.3</v>
      </c>
      <c r="K807">
        <v>0</v>
      </c>
      <c r="L807">
        <v>91.2</v>
      </c>
      <c r="M807">
        <v>72</v>
      </c>
      <c r="N807">
        <v>64</v>
      </c>
      <c r="O807">
        <v>1</v>
      </c>
      <c r="P807">
        <v>8</v>
      </c>
      <c r="Q807" t="s">
        <v>42</v>
      </c>
      <c r="R807" t="s">
        <v>62</v>
      </c>
    </row>
    <row r="808" spans="1:18" x14ac:dyDescent="0.25">
      <c r="A808">
        <v>1807</v>
      </c>
      <c r="B808" t="s">
        <v>1578</v>
      </c>
      <c r="C808" t="s">
        <v>44</v>
      </c>
      <c r="D808" t="s">
        <v>54</v>
      </c>
      <c r="E808" t="s">
        <v>97</v>
      </c>
      <c r="F808" t="s">
        <v>86</v>
      </c>
      <c r="G808">
        <v>3.9</v>
      </c>
      <c r="H808">
        <v>42477</v>
      </c>
      <c r="I808" t="s">
        <v>1579</v>
      </c>
      <c r="J808">
        <v>90.6</v>
      </c>
      <c r="K808">
        <v>25.3</v>
      </c>
      <c r="L808">
        <v>76.099999999999994</v>
      </c>
      <c r="M808">
        <v>82</v>
      </c>
      <c r="N808">
        <v>72</v>
      </c>
      <c r="O808">
        <v>1</v>
      </c>
      <c r="P808">
        <v>24</v>
      </c>
      <c r="Q808" t="s">
        <v>37</v>
      </c>
      <c r="R808" t="s">
        <v>57</v>
      </c>
    </row>
    <row r="809" spans="1:18" x14ac:dyDescent="0.25">
      <c r="A809">
        <v>1808</v>
      </c>
      <c r="B809" t="s">
        <v>1580</v>
      </c>
      <c r="C809" t="s">
        <v>89</v>
      </c>
      <c r="D809" t="s">
        <v>121</v>
      </c>
      <c r="E809" t="s">
        <v>91</v>
      </c>
      <c r="F809" t="s">
        <v>40</v>
      </c>
      <c r="G809">
        <v>2.9</v>
      </c>
      <c r="H809">
        <v>49600</v>
      </c>
      <c r="I809" t="s">
        <v>1581</v>
      </c>
      <c r="J809">
        <v>93.1</v>
      </c>
      <c r="K809">
        <v>24.7</v>
      </c>
      <c r="L809">
        <v>92.7</v>
      </c>
      <c r="M809">
        <v>77</v>
      </c>
      <c r="N809">
        <v>66</v>
      </c>
      <c r="O809">
        <v>2</v>
      </c>
      <c r="P809">
        <v>15</v>
      </c>
      <c r="Q809" t="s">
        <v>42</v>
      </c>
      <c r="R809" t="s">
        <v>62</v>
      </c>
    </row>
    <row r="810" spans="1:18" x14ac:dyDescent="0.25">
      <c r="A810">
        <v>1809</v>
      </c>
      <c r="B810" t="s">
        <v>1582</v>
      </c>
      <c r="C810" t="s">
        <v>89</v>
      </c>
      <c r="D810" t="s">
        <v>102</v>
      </c>
      <c r="E810" t="s">
        <v>111</v>
      </c>
      <c r="F810" t="s">
        <v>86</v>
      </c>
      <c r="G810">
        <v>3.6</v>
      </c>
      <c r="H810">
        <v>60996</v>
      </c>
      <c r="I810" t="s">
        <v>1583</v>
      </c>
      <c r="J810">
        <v>91.3</v>
      </c>
      <c r="K810">
        <v>19</v>
      </c>
      <c r="L810">
        <v>84.1</v>
      </c>
      <c r="M810">
        <v>59</v>
      </c>
      <c r="N810">
        <v>51</v>
      </c>
      <c r="O810">
        <v>0</v>
      </c>
      <c r="P810">
        <v>16</v>
      </c>
      <c r="Q810" t="s">
        <v>42</v>
      </c>
      <c r="R810" t="s">
        <v>25</v>
      </c>
    </row>
    <row r="811" spans="1:18" x14ac:dyDescent="0.25">
      <c r="A811">
        <v>1810</v>
      </c>
      <c r="B811" t="s">
        <v>1584</v>
      </c>
      <c r="C811" t="s">
        <v>89</v>
      </c>
      <c r="D811" t="s">
        <v>102</v>
      </c>
      <c r="E811" t="s">
        <v>91</v>
      </c>
      <c r="F811" t="s">
        <v>22</v>
      </c>
      <c r="G811">
        <v>6.5</v>
      </c>
      <c r="H811">
        <v>78705</v>
      </c>
      <c r="I811" t="s">
        <v>1585</v>
      </c>
      <c r="J811">
        <v>88.6</v>
      </c>
      <c r="K811">
        <v>14.9</v>
      </c>
      <c r="L811">
        <v>79</v>
      </c>
      <c r="M811">
        <v>67</v>
      </c>
      <c r="N811">
        <v>48</v>
      </c>
      <c r="O811">
        <v>6</v>
      </c>
      <c r="P811">
        <v>18</v>
      </c>
      <c r="Q811" t="s">
        <v>42</v>
      </c>
      <c r="R811" t="s">
        <v>57</v>
      </c>
    </row>
    <row r="812" spans="1:18" x14ac:dyDescent="0.25">
      <c r="A812">
        <v>1811</v>
      </c>
      <c r="B812" t="s">
        <v>1586</v>
      </c>
      <c r="C812" t="s">
        <v>44</v>
      </c>
      <c r="D812" t="s">
        <v>54</v>
      </c>
      <c r="E812" t="s">
        <v>97</v>
      </c>
      <c r="F812" t="s">
        <v>40</v>
      </c>
      <c r="G812">
        <v>7.5</v>
      </c>
      <c r="H812">
        <v>89609</v>
      </c>
      <c r="I812" t="s">
        <v>1587</v>
      </c>
      <c r="J812">
        <v>99.4</v>
      </c>
      <c r="K812">
        <v>23</v>
      </c>
      <c r="L812">
        <v>79.5</v>
      </c>
      <c r="M812">
        <v>86</v>
      </c>
      <c r="N812">
        <v>66</v>
      </c>
      <c r="O812">
        <v>0</v>
      </c>
      <c r="P812">
        <v>19</v>
      </c>
      <c r="Q812" t="s">
        <v>37</v>
      </c>
      <c r="R812" t="s">
        <v>57</v>
      </c>
    </row>
    <row r="813" spans="1:18" x14ac:dyDescent="0.25">
      <c r="A813">
        <v>1812</v>
      </c>
      <c r="B813" t="s">
        <v>1588</v>
      </c>
      <c r="C813" t="s">
        <v>89</v>
      </c>
      <c r="D813" t="s">
        <v>90</v>
      </c>
      <c r="E813" t="s">
        <v>111</v>
      </c>
      <c r="F813" t="s">
        <v>76</v>
      </c>
      <c r="G813">
        <v>1.9</v>
      </c>
      <c r="H813">
        <v>48063</v>
      </c>
      <c r="I813" t="s">
        <v>1589</v>
      </c>
      <c r="J813">
        <v>88.7</v>
      </c>
      <c r="K813">
        <v>18</v>
      </c>
      <c r="L813">
        <v>87.8</v>
      </c>
      <c r="M813">
        <v>82</v>
      </c>
      <c r="N813">
        <v>67</v>
      </c>
      <c r="O813">
        <v>2</v>
      </c>
      <c r="P813">
        <v>15</v>
      </c>
      <c r="Q813" t="s">
        <v>24</v>
      </c>
      <c r="R813" t="s">
        <v>25</v>
      </c>
    </row>
    <row r="814" spans="1:18" x14ac:dyDescent="0.25">
      <c r="A814">
        <v>1813</v>
      </c>
      <c r="B814" t="s">
        <v>1590</v>
      </c>
      <c r="C814" t="s">
        <v>32</v>
      </c>
      <c r="D814" t="s">
        <v>67</v>
      </c>
      <c r="E814" t="s">
        <v>34</v>
      </c>
      <c r="F814" t="s">
        <v>22</v>
      </c>
      <c r="G814">
        <v>4.3</v>
      </c>
      <c r="H814">
        <v>53415</v>
      </c>
      <c r="I814" t="s">
        <v>1591</v>
      </c>
      <c r="J814">
        <v>92.1</v>
      </c>
      <c r="K814">
        <v>36.9</v>
      </c>
      <c r="L814">
        <v>80.3</v>
      </c>
      <c r="M814">
        <v>114</v>
      </c>
      <c r="N814">
        <v>88</v>
      </c>
      <c r="O814">
        <v>3</v>
      </c>
      <c r="P814">
        <v>21</v>
      </c>
      <c r="Q814" t="s">
        <v>37</v>
      </c>
      <c r="R814" t="s">
        <v>25</v>
      </c>
    </row>
    <row r="815" spans="1:18" x14ac:dyDescent="0.25">
      <c r="A815">
        <v>1814</v>
      </c>
      <c r="B815" t="s">
        <v>1592</v>
      </c>
      <c r="C815" t="s">
        <v>19</v>
      </c>
      <c r="D815" t="s">
        <v>81</v>
      </c>
      <c r="E815" t="s">
        <v>82</v>
      </c>
      <c r="F815" t="s">
        <v>76</v>
      </c>
      <c r="G815">
        <v>2</v>
      </c>
      <c r="H815">
        <v>55160</v>
      </c>
      <c r="I815" t="s">
        <v>1593</v>
      </c>
      <c r="J815">
        <v>100</v>
      </c>
      <c r="K815">
        <v>34.200000000000003</v>
      </c>
      <c r="L815">
        <v>82.8</v>
      </c>
      <c r="M815">
        <v>96</v>
      </c>
      <c r="N815">
        <v>72</v>
      </c>
      <c r="O815">
        <v>0</v>
      </c>
      <c r="P815">
        <v>11</v>
      </c>
      <c r="Q815" t="s">
        <v>37</v>
      </c>
      <c r="R815" t="s">
        <v>25</v>
      </c>
    </row>
    <row r="816" spans="1:18" x14ac:dyDescent="0.25">
      <c r="A816">
        <v>1815</v>
      </c>
      <c r="B816" t="s">
        <v>1594</v>
      </c>
      <c r="C816" t="s">
        <v>27</v>
      </c>
      <c r="D816" t="s">
        <v>28</v>
      </c>
      <c r="E816" t="s">
        <v>118</v>
      </c>
      <c r="F816" t="s">
        <v>40</v>
      </c>
      <c r="G816">
        <v>1.6</v>
      </c>
      <c r="H816">
        <v>47750</v>
      </c>
      <c r="I816" t="s">
        <v>1595</v>
      </c>
      <c r="J816">
        <v>88.4</v>
      </c>
      <c r="K816">
        <v>1.8</v>
      </c>
      <c r="L816">
        <v>97</v>
      </c>
      <c r="M816">
        <v>89</v>
      </c>
      <c r="N816">
        <v>89</v>
      </c>
      <c r="O816">
        <v>1</v>
      </c>
      <c r="P816">
        <v>14</v>
      </c>
      <c r="Q816" t="s">
        <v>42</v>
      </c>
      <c r="R816" t="s">
        <v>62</v>
      </c>
    </row>
    <row r="817" spans="1:18" x14ac:dyDescent="0.25">
      <c r="A817">
        <v>1816</v>
      </c>
      <c r="B817" t="s">
        <v>1596</v>
      </c>
      <c r="C817" t="s">
        <v>49</v>
      </c>
      <c r="D817" t="s">
        <v>178</v>
      </c>
      <c r="E817" t="s">
        <v>60</v>
      </c>
      <c r="F817" t="s">
        <v>103</v>
      </c>
      <c r="G817">
        <v>4.8</v>
      </c>
      <c r="H817">
        <v>60948</v>
      </c>
      <c r="I817" t="s">
        <v>1268</v>
      </c>
      <c r="J817">
        <v>88.8</v>
      </c>
      <c r="K817">
        <v>15.8</v>
      </c>
      <c r="L817">
        <v>79.5</v>
      </c>
      <c r="M817">
        <v>67</v>
      </c>
      <c r="N817">
        <v>54</v>
      </c>
      <c r="O817">
        <v>5</v>
      </c>
      <c r="P817">
        <v>14</v>
      </c>
      <c r="Q817" t="s">
        <v>42</v>
      </c>
      <c r="R817" t="s">
        <v>57</v>
      </c>
    </row>
    <row r="818" spans="1:18" x14ac:dyDescent="0.25">
      <c r="A818">
        <v>1817</v>
      </c>
      <c r="B818" t="s">
        <v>1597</v>
      </c>
      <c r="C818" t="s">
        <v>19</v>
      </c>
      <c r="D818" t="s">
        <v>137</v>
      </c>
      <c r="E818" t="s">
        <v>39</v>
      </c>
      <c r="F818" t="s">
        <v>22</v>
      </c>
      <c r="G818">
        <v>4.8</v>
      </c>
      <c r="H818">
        <v>64577</v>
      </c>
      <c r="I818" t="s">
        <v>1598</v>
      </c>
      <c r="J818">
        <v>95.3</v>
      </c>
      <c r="K818">
        <v>23.1</v>
      </c>
      <c r="L818">
        <v>90.1</v>
      </c>
      <c r="M818">
        <v>88</v>
      </c>
      <c r="N818">
        <v>82</v>
      </c>
      <c r="O818">
        <v>2</v>
      </c>
      <c r="P818">
        <v>16</v>
      </c>
      <c r="Q818" t="s">
        <v>24</v>
      </c>
      <c r="R818" t="s">
        <v>62</v>
      </c>
    </row>
    <row r="819" spans="1:18" x14ac:dyDescent="0.25">
      <c r="A819">
        <v>1818</v>
      </c>
      <c r="B819" t="s">
        <v>1599</v>
      </c>
      <c r="C819" t="s">
        <v>44</v>
      </c>
      <c r="D819" t="s">
        <v>54</v>
      </c>
      <c r="E819" t="s">
        <v>97</v>
      </c>
      <c r="F819" t="s">
        <v>103</v>
      </c>
      <c r="G819">
        <v>3.2</v>
      </c>
      <c r="H819">
        <v>64622</v>
      </c>
      <c r="I819" t="s">
        <v>1207</v>
      </c>
      <c r="J819">
        <v>96.1</v>
      </c>
      <c r="K819">
        <v>9.6</v>
      </c>
      <c r="L819">
        <v>81.400000000000006</v>
      </c>
      <c r="M819">
        <v>72</v>
      </c>
      <c r="N819">
        <v>69</v>
      </c>
      <c r="O819">
        <v>0</v>
      </c>
      <c r="P819">
        <v>11</v>
      </c>
      <c r="Q819" t="s">
        <v>24</v>
      </c>
      <c r="R819" t="s">
        <v>25</v>
      </c>
    </row>
    <row r="820" spans="1:18" x14ac:dyDescent="0.25">
      <c r="A820">
        <v>1819</v>
      </c>
      <c r="B820" t="s">
        <v>1600</v>
      </c>
      <c r="C820" t="s">
        <v>44</v>
      </c>
      <c r="D820" t="s">
        <v>54</v>
      </c>
      <c r="E820" t="s">
        <v>55</v>
      </c>
      <c r="F820" t="s">
        <v>35</v>
      </c>
      <c r="G820">
        <v>3.5</v>
      </c>
      <c r="H820">
        <v>63514</v>
      </c>
      <c r="I820" t="s">
        <v>1601</v>
      </c>
      <c r="J820">
        <v>100</v>
      </c>
      <c r="K820">
        <v>23.1</v>
      </c>
      <c r="L820">
        <v>82.6</v>
      </c>
      <c r="M820">
        <v>105</v>
      </c>
      <c r="N820">
        <v>88</v>
      </c>
      <c r="O820">
        <v>4</v>
      </c>
      <c r="P820">
        <v>24</v>
      </c>
      <c r="Q820" t="s">
        <v>37</v>
      </c>
      <c r="R820" t="s">
        <v>25</v>
      </c>
    </row>
    <row r="821" spans="1:18" x14ac:dyDescent="0.25">
      <c r="A821">
        <v>1820</v>
      </c>
      <c r="B821" t="s">
        <v>1602</v>
      </c>
      <c r="C821" t="s">
        <v>44</v>
      </c>
      <c r="D821" t="s">
        <v>45</v>
      </c>
      <c r="E821" t="s">
        <v>55</v>
      </c>
      <c r="F821" t="s">
        <v>76</v>
      </c>
      <c r="G821">
        <v>3.5</v>
      </c>
      <c r="H821">
        <v>71950</v>
      </c>
      <c r="I821" t="s">
        <v>1603</v>
      </c>
      <c r="J821">
        <v>95.8</v>
      </c>
      <c r="K821">
        <v>32.700000000000003</v>
      </c>
      <c r="L821">
        <v>73.3</v>
      </c>
      <c r="M821">
        <v>110</v>
      </c>
      <c r="N821">
        <v>83</v>
      </c>
      <c r="O821">
        <v>4</v>
      </c>
      <c r="P821">
        <v>15</v>
      </c>
      <c r="Q821" t="s">
        <v>37</v>
      </c>
      <c r="R821" t="s">
        <v>57</v>
      </c>
    </row>
    <row r="822" spans="1:18" x14ac:dyDescent="0.25">
      <c r="A822">
        <v>1821</v>
      </c>
      <c r="B822" t="s">
        <v>1604</v>
      </c>
      <c r="C822" t="s">
        <v>32</v>
      </c>
      <c r="D822" t="s">
        <v>33</v>
      </c>
      <c r="E822" t="s">
        <v>34</v>
      </c>
      <c r="F822" t="s">
        <v>40</v>
      </c>
      <c r="G822">
        <v>3.6</v>
      </c>
      <c r="H822">
        <v>58285</v>
      </c>
      <c r="I822" t="s">
        <v>1605</v>
      </c>
      <c r="J822">
        <v>93.6</v>
      </c>
      <c r="K822">
        <v>27.8</v>
      </c>
      <c r="L822">
        <v>79</v>
      </c>
      <c r="M822">
        <v>121</v>
      </c>
      <c r="N822">
        <v>93</v>
      </c>
      <c r="O822">
        <v>5</v>
      </c>
      <c r="P822">
        <v>11</v>
      </c>
      <c r="Q822" t="s">
        <v>37</v>
      </c>
      <c r="R822" t="s">
        <v>57</v>
      </c>
    </row>
    <row r="823" spans="1:18" x14ac:dyDescent="0.25">
      <c r="A823">
        <v>1822</v>
      </c>
      <c r="B823" t="s">
        <v>1606</v>
      </c>
      <c r="C823" t="s">
        <v>89</v>
      </c>
      <c r="D823" t="s">
        <v>90</v>
      </c>
      <c r="E823" t="s">
        <v>152</v>
      </c>
      <c r="F823" t="s">
        <v>35</v>
      </c>
      <c r="G823">
        <v>9.5</v>
      </c>
      <c r="H823">
        <v>100124</v>
      </c>
      <c r="I823" t="s">
        <v>1607</v>
      </c>
      <c r="J823">
        <v>99.6</v>
      </c>
      <c r="K823">
        <v>20.8</v>
      </c>
      <c r="L823">
        <v>93.1</v>
      </c>
      <c r="M823">
        <v>84</v>
      </c>
      <c r="N823">
        <v>78</v>
      </c>
      <c r="O823">
        <v>3</v>
      </c>
      <c r="P823">
        <v>18</v>
      </c>
      <c r="Q823" t="s">
        <v>24</v>
      </c>
      <c r="R823" t="s">
        <v>62</v>
      </c>
    </row>
    <row r="824" spans="1:18" x14ac:dyDescent="0.25">
      <c r="A824">
        <v>1823</v>
      </c>
      <c r="B824" t="s">
        <v>1608</v>
      </c>
      <c r="C824" t="s">
        <v>27</v>
      </c>
      <c r="D824" t="s">
        <v>28</v>
      </c>
      <c r="E824" t="s">
        <v>29</v>
      </c>
      <c r="F824" t="s">
        <v>35</v>
      </c>
      <c r="G824">
        <v>7.4</v>
      </c>
      <c r="H824">
        <v>88982</v>
      </c>
      <c r="I824" t="s">
        <v>1609</v>
      </c>
      <c r="J824">
        <v>92.5</v>
      </c>
      <c r="K824">
        <v>5</v>
      </c>
      <c r="L824">
        <v>86.7</v>
      </c>
      <c r="M824">
        <v>81</v>
      </c>
      <c r="N824">
        <v>71</v>
      </c>
      <c r="O824">
        <v>1</v>
      </c>
      <c r="P824">
        <v>5</v>
      </c>
      <c r="Q824" t="s">
        <v>42</v>
      </c>
      <c r="R824" t="s">
        <v>25</v>
      </c>
    </row>
    <row r="825" spans="1:18" x14ac:dyDescent="0.25">
      <c r="A825">
        <v>1824</v>
      </c>
      <c r="B825" t="s">
        <v>1610</v>
      </c>
      <c r="C825" t="s">
        <v>49</v>
      </c>
      <c r="D825" t="s">
        <v>59</v>
      </c>
      <c r="E825" t="s">
        <v>163</v>
      </c>
      <c r="F825" t="s">
        <v>35</v>
      </c>
      <c r="G825">
        <v>5.0999999999999996</v>
      </c>
      <c r="H825">
        <v>81071</v>
      </c>
      <c r="I825" t="s">
        <v>1611</v>
      </c>
      <c r="J825">
        <v>93.4</v>
      </c>
      <c r="K825">
        <v>26.7</v>
      </c>
      <c r="L825">
        <v>88.3</v>
      </c>
      <c r="M825">
        <v>68</v>
      </c>
      <c r="N825">
        <v>67</v>
      </c>
      <c r="O825">
        <v>1</v>
      </c>
      <c r="P825">
        <v>16</v>
      </c>
      <c r="Q825" t="s">
        <v>42</v>
      </c>
      <c r="R825" t="s">
        <v>25</v>
      </c>
    </row>
    <row r="826" spans="1:18" x14ac:dyDescent="0.25">
      <c r="A826">
        <v>1825</v>
      </c>
      <c r="B826" t="s">
        <v>1612</v>
      </c>
      <c r="C826" t="s">
        <v>19</v>
      </c>
      <c r="D826" t="s">
        <v>81</v>
      </c>
      <c r="E826" t="s">
        <v>39</v>
      </c>
      <c r="F826" t="s">
        <v>35</v>
      </c>
      <c r="G826">
        <v>3</v>
      </c>
      <c r="H826">
        <v>58811</v>
      </c>
      <c r="I826" t="s">
        <v>1613</v>
      </c>
      <c r="J826">
        <v>97.4</v>
      </c>
      <c r="K826">
        <v>27.8</v>
      </c>
      <c r="L826">
        <v>79.3</v>
      </c>
      <c r="M826">
        <v>96</v>
      </c>
      <c r="N826">
        <v>80</v>
      </c>
      <c r="O826">
        <v>4</v>
      </c>
      <c r="P826">
        <v>12</v>
      </c>
      <c r="Q826" t="s">
        <v>24</v>
      </c>
      <c r="R826" t="s">
        <v>57</v>
      </c>
    </row>
    <row r="827" spans="1:18" x14ac:dyDescent="0.25">
      <c r="A827">
        <v>1826</v>
      </c>
      <c r="B827" t="s">
        <v>1614</v>
      </c>
      <c r="C827" t="s">
        <v>32</v>
      </c>
      <c r="D827" t="s">
        <v>106</v>
      </c>
      <c r="E827" t="s">
        <v>94</v>
      </c>
      <c r="F827" t="s">
        <v>86</v>
      </c>
      <c r="G827">
        <v>8.8000000000000007</v>
      </c>
      <c r="H827">
        <v>95647</v>
      </c>
      <c r="I827" t="s">
        <v>1615</v>
      </c>
      <c r="J827">
        <v>94.4</v>
      </c>
      <c r="K827">
        <v>18</v>
      </c>
      <c r="L827">
        <v>90</v>
      </c>
      <c r="M827">
        <v>111</v>
      </c>
      <c r="N827">
        <v>100</v>
      </c>
      <c r="O827">
        <v>3</v>
      </c>
      <c r="P827">
        <v>14</v>
      </c>
      <c r="Q827" t="s">
        <v>42</v>
      </c>
      <c r="R827" t="s">
        <v>62</v>
      </c>
    </row>
    <row r="828" spans="1:18" x14ac:dyDescent="0.25">
      <c r="A828">
        <v>1827</v>
      </c>
      <c r="B828" t="s">
        <v>1616</v>
      </c>
      <c r="C828" t="s">
        <v>44</v>
      </c>
      <c r="D828" t="s">
        <v>54</v>
      </c>
      <c r="E828" t="s">
        <v>55</v>
      </c>
      <c r="F828" t="s">
        <v>86</v>
      </c>
      <c r="G828">
        <v>4.4000000000000004</v>
      </c>
      <c r="H828">
        <v>67465</v>
      </c>
      <c r="I828" t="s">
        <v>303</v>
      </c>
      <c r="J828">
        <v>94.3</v>
      </c>
      <c r="K828">
        <v>15</v>
      </c>
      <c r="L828">
        <v>67.7</v>
      </c>
      <c r="M828">
        <v>64</v>
      </c>
      <c r="N828">
        <v>45</v>
      </c>
      <c r="O828">
        <v>5</v>
      </c>
      <c r="P828">
        <v>18</v>
      </c>
      <c r="Q828" t="s">
        <v>37</v>
      </c>
      <c r="R828" t="s">
        <v>203</v>
      </c>
    </row>
    <row r="829" spans="1:18" x14ac:dyDescent="0.25">
      <c r="A829">
        <v>1828</v>
      </c>
      <c r="B829" t="s">
        <v>1617</v>
      </c>
      <c r="C829" t="s">
        <v>19</v>
      </c>
      <c r="D829" t="s">
        <v>137</v>
      </c>
      <c r="E829" t="s">
        <v>39</v>
      </c>
      <c r="F829" t="s">
        <v>76</v>
      </c>
      <c r="G829">
        <v>0.3</v>
      </c>
      <c r="H829">
        <v>37254</v>
      </c>
      <c r="I829" t="s">
        <v>1618</v>
      </c>
      <c r="J829">
        <v>97.9</v>
      </c>
      <c r="K829">
        <v>10.5</v>
      </c>
      <c r="L829">
        <v>81.099999999999994</v>
      </c>
      <c r="M829">
        <v>71</v>
      </c>
      <c r="N829">
        <v>55</v>
      </c>
      <c r="O829">
        <v>2</v>
      </c>
      <c r="P829">
        <v>7</v>
      </c>
      <c r="Q829" t="s">
        <v>24</v>
      </c>
      <c r="R829" t="s">
        <v>25</v>
      </c>
    </row>
    <row r="830" spans="1:18" x14ac:dyDescent="0.25">
      <c r="A830">
        <v>1829</v>
      </c>
      <c r="B830" t="s">
        <v>1619</v>
      </c>
      <c r="C830" t="s">
        <v>44</v>
      </c>
      <c r="D830" t="s">
        <v>54</v>
      </c>
      <c r="E830" t="s">
        <v>55</v>
      </c>
      <c r="F830" t="s">
        <v>86</v>
      </c>
      <c r="G830">
        <v>4.9000000000000004</v>
      </c>
      <c r="H830">
        <v>70324</v>
      </c>
      <c r="I830" t="s">
        <v>1620</v>
      </c>
      <c r="J830">
        <v>92.1</v>
      </c>
      <c r="K830">
        <v>9.8000000000000007</v>
      </c>
      <c r="L830">
        <v>75.400000000000006</v>
      </c>
      <c r="M830">
        <v>69</v>
      </c>
      <c r="N830">
        <v>50</v>
      </c>
      <c r="O830">
        <v>6</v>
      </c>
      <c r="P830">
        <v>17</v>
      </c>
      <c r="Q830" t="s">
        <v>37</v>
      </c>
      <c r="R830" t="s">
        <v>57</v>
      </c>
    </row>
    <row r="831" spans="1:18" x14ac:dyDescent="0.25">
      <c r="A831">
        <v>1830</v>
      </c>
      <c r="B831" t="s">
        <v>1621</v>
      </c>
      <c r="C831" t="s">
        <v>44</v>
      </c>
      <c r="D831" t="s">
        <v>70</v>
      </c>
      <c r="E831" t="s">
        <v>46</v>
      </c>
      <c r="F831" t="s">
        <v>22</v>
      </c>
      <c r="G831">
        <v>4.4000000000000004</v>
      </c>
      <c r="H831">
        <v>60572</v>
      </c>
      <c r="I831" t="s">
        <v>439</v>
      </c>
      <c r="J831">
        <v>93.7</v>
      </c>
      <c r="K831">
        <v>5.3</v>
      </c>
      <c r="L831">
        <v>70.5</v>
      </c>
      <c r="M831">
        <v>70</v>
      </c>
      <c r="N831">
        <v>43</v>
      </c>
      <c r="O831">
        <v>6</v>
      </c>
      <c r="P831">
        <v>12</v>
      </c>
      <c r="Q831" t="s">
        <v>37</v>
      </c>
      <c r="R831" t="s">
        <v>57</v>
      </c>
    </row>
    <row r="832" spans="1:18" x14ac:dyDescent="0.25">
      <c r="A832">
        <v>1831</v>
      </c>
      <c r="B832" t="s">
        <v>1622</v>
      </c>
      <c r="C832" t="s">
        <v>27</v>
      </c>
      <c r="D832" t="s">
        <v>75</v>
      </c>
      <c r="E832" t="s">
        <v>85</v>
      </c>
      <c r="F832" t="s">
        <v>103</v>
      </c>
      <c r="G832">
        <v>8.6999999999999993</v>
      </c>
      <c r="H832">
        <v>100706</v>
      </c>
      <c r="I832" t="s">
        <v>1623</v>
      </c>
      <c r="J832">
        <v>94.1</v>
      </c>
      <c r="K832">
        <v>20.399999999999999</v>
      </c>
      <c r="L832">
        <v>91.9</v>
      </c>
      <c r="M832">
        <v>74</v>
      </c>
      <c r="N832">
        <v>69</v>
      </c>
      <c r="O832">
        <v>2</v>
      </c>
      <c r="P832">
        <v>9</v>
      </c>
      <c r="Q832" t="s">
        <v>42</v>
      </c>
      <c r="R832" t="s">
        <v>62</v>
      </c>
    </row>
    <row r="833" spans="1:18" x14ac:dyDescent="0.25">
      <c r="A833">
        <v>1832</v>
      </c>
      <c r="B833" t="s">
        <v>1624</v>
      </c>
      <c r="C833" t="s">
        <v>89</v>
      </c>
      <c r="D833" t="s">
        <v>90</v>
      </c>
      <c r="E833" t="s">
        <v>152</v>
      </c>
      <c r="F833" t="s">
        <v>22</v>
      </c>
      <c r="G833">
        <v>5.6</v>
      </c>
      <c r="H833">
        <v>74022</v>
      </c>
      <c r="I833" t="s">
        <v>1625</v>
      </c>
      <c r="J833">
        <v>91.9</v>
      </c>
      <c r="K833">
        <v>17.3</v>
      </c>
      <c r="L833">
        <v>91.5</v>
      </c>
      <c r="M833">
        <v>76</v>
      </c>
      <c r="N833">
        <v>63</v>
      </c>
      <c r="O833">
        <v>0</v>
      </c>
      <c r="P833">
        <v>13</v>
      </c>
      <c r="Q833" t="s">
        <v>42</v>
      </c>
      <c r="R833" t="s">
        <v>62</v>
      </c>
    </row>
    <row r="834" spans="1:18" x14ac:dyDescent="0.25">
      <c r="A834">
        <v>1833</v>
      </c>
      <c r="B834" t="s">
        <v>1626</v>
      </c>
      <c r="C834" t="s">
        <v>44</v>
      </c>
      <c r="D834" t="s">
        <v>54</v>
      </c>
      <c r="E834" t="s">
        <v>46</v>
      </c>
      <c r="F834" t="s">
        <v>103</v>
      </c>
      <c r="G834">
        <v>5.2</v>
      </c>
      <c r="H834">
        <v>80916</v>
      </c>
      <c r="I834" t="s">
        <v>1627</v>
      </c>
      <c r="J834">
        <v>95.7</v>
      </c>
      <c r="K834">
        <v>26.3</v>
      </c>
      <c r="L834">
        <v>82.5</v>
      </c>
      <c r="M834">
        <v>106</v>
      </c>
      <c r="N834">
        <v>80</v>
      </c>
      <c r="O834">
        <v>5</v>
      </c>
      <c r="P834">
        <v>22</v>
      </c>
      <c r="Q834" t="s">
        <v>37</v>
      </c>
      <c r="R834" t="s">
        <v>25</v>
      </c>
    </row>
    <row r="835" spans="1:18" x14ac:dyDescent="0.25">
      <c r="A835">
        <v>1834</v>
      </c>
      <c r="B835" t="s">
        <v>1628</v>
      </c>
      <c r="C835" t="s">
        <v>49</v>
      </c>
      <c r="D835" t="s">
        <v>59</v>
      </c>
      <c r="E835" t="s">
        <v>51</v>
      </c>
      <c r="F835" t="s">
        <v>35</v>
      </c>
      <c r="G835">
        <v>2.7</v>
      </c>
      <c r="H835">
        <v>55631</v>
      </c>
      <c r="I835" t="s">
        <v>1629</v>
      </c>
      <c r="J835">
        <v>99.8</v>
      </c>
      <c r="K835">
        <v>8.5</v>
      </c>
      <c r="L835">
        <v>87.8</v>
      </c>
      <c r="M835">
        <v>78</v>
      </c>
      <c r="N835">
        <v>70</v>
      </c>
      <c r="O835">
        <v>0</v>
      </c>
      <c r="P835">
        <v>17</v>
      </c>
      <c r="Q835" t="s">
        <v>42</v>
      </c>
      <c r="R835" t="s">
        <v>25</v>
      </c>
    </row>
    <row r="836" spans="1:18" x14ac:dyDescent="0.25">
      <c r="A836">
        <v>1835</v>
      </c>
      <c r="B836" t="s">
        <v>1630</v>
      </c>
      <c r="C836" t="s">
        <v>89</v>
      </c>
      <c r="D836" t="s">
        <v>90</v>
      </c>
      <c r="E836" t="s">
        <v>152</v>
      </c>
      <c r="F836" t="s">
        <v>76</v>
      </c>
      <c r="G836">
        <v>4.2</v>
      </c>
      <c r="H836">
        <v>56305</v>
      </c>
      <c r="I836" t="s">
        <v>1631</v>
      </c>
      <c r="J836">
        <v>90.3</v>
      </c>
      <c r="K836">
        <v>13.8</v>
      </c>
      <c r="L836">
        <v>94</v>
      </c>
      <c r="M836">
        <v>74</v>
      </c>
      <c r="N836">
        <v>68</v>
      </c>
      <c r="O836">
        <v>0</v>
      </c>
      <c r="P836">
        <v>20</v>
      </c>
      <c r="Q836" t="s">
        <v>42</v>
      </c>
      <c r="R836" t="s">
        <v>62</v>
      </c>
    </row>
    <row r="837" spans="1:18" x14ac:dyDescent="0.25">
      <c r="A837">
        <v>1836</v>
      </c>
      <c r="B837" t="s">
        <v>1632</v>
      </c>
      <c r="C837" t="s">
        <v>44</v>
      </c>
      <c r="D837" t="s">
        <v>54</v>
      </c>
      <c r="E837" t="s">
        <v>97</v>
      </c>
      <c r="F837" t="s">
        <v>103</v>
      </c>
      <c r="G837">
        <v>7.1</v>
      </c>
      <c r="H837">
        <v>84036</v>
      </c>
      <c r="I837" t="s">
        <v>1633</v>
      </c>
      <c r="J837">
        <v>89.8</v>
      </c>
      <c r="K837">
        <v>28.8</v>
      </c>
      <c r="L837">
        <v>69.400000000000006</v>
      </c>
      <c r="M837">
        <v>100</v>
      </c>
      <c r="N837">
        <v>77</v>
      </c>
      <c r="O837">
        <v>7</v>
      </c>
      <c r="P837">
        <v>22</v>
      </c>
      <c r="Q837" t="s">
        <v>37</v>
      </c>
      <c r="R837" t="s">
        <v>203</v>
      </c>
    </row>
    <row r="838" spans="1:18" x14ac:dyDescent="0.25">
      <c r="A838">
        <v>1837</v>
      </c>
      <c r="B838" t="s">
        <v>1634</v>
      </c>
      <c r="C838" t="s">
        <v>44</v>
      </c>
      <c r="D838" t="s">
        <v>70</v>
      </c>
      <c r="E838" t="s">
        <v>46</v>
      </c>
      <c r="F838" t="s">
        <v>35</v>
      </c>
      <c r="G838">
        <v>2.1</v>
      </c>
      <c r="H838">
        <v>58331</v>
      </c>
      <c r="I838" t="s">
        <v>948</v>
      </c>
      <c r="J838">
        <v>89.2</v>
      </c>
      <c r="K838">
        <v>23</v>
      </c>
      <c r="L838">
        <v>74.2</v>
      </c>
      <c r="M838">
        <v>102</v>
      </c>
      <c r="N838">
        <v>78</v>
      </c>
      <c r="O838">
        <v>2</v>
      </c>
      <c r="P838">
        <v>22</v>
      </c>
      <c r="Q838" t="s">
        <v>24</v>
      </c>
      <c r="R838" t="s">
        <v>57</v>
      </c>
    </row>
    <row r="839" spans="1:18" x14ac:dyDescent="0.25">
      <c r="A839">
        <v>1838</v>
      </c>
      <c r="B839" t="s">
        <v>1635</v>
      </c>
      <c r="C839" t="s">
        <v>49</v>
      </c>
      <c r="D839" t="s">
        <v>178</v>
      </c>
      <c r="E839" t="s">
        <v>60</v>
      </c>
      <c r="F839" t="s">
        <v>22</v>
      </c>
      <c r="G839">
        <v>3.5</v>
      </c>
      <c r="H839">
        <v>41947</v>
      </c>
      <c r="I839" t="s">
        <v>1636</v>
      </c>
      <c r="J839">
        <v>92.4</v>
      </c>
      <c r="K839">
        <v>8</v>
      </c>
      <c r="L839">
        <v>87.9</v>
      </c>
      <c r="M839">
        <v>52</v>
      </c>
      <c r="N839">
        <v>39</v>
      </c>
      <c r="O839">
        <v>6</v>
      </c>
      <c r="P839">
        <v>17</v>
      </c>
      <c r="Q839" t="s">
        <v>42</v>
      </c>
      <c r="R839" t="s">
        <v>25</v>
      </c>
    </row>
    <row r="840" spans="1:18" x14ac:dyDescent="0.25">
      <c r="A840">
        <v>1839</v>
      </c>
      <c r="B840" t="s">
        <v>1637</v>
      </c>
      <c r="C840" t="s">
        <v>89</v>
      </c>
      <c r="D840" t="s">
        <v>121</v>
      </c>
      <c r="E840" t="s">
        <v>152</v>
      </c>
      <c r="F840" t="s">
        <v>35</v>
      </c>
      <c r="G840">
        <v>0.8</v>
      </c>
      <c r="H840">
        <v>42715</v>
      </c>
      <c r="I840" t="s">
        <v>1638</v>
      </c>
      <c r="J840">
        <v>91.2</v>
      </c>
      <c r="K840">
        <v>21.6</v>
      </c>
      <c r="L840">
        <v>92.3</v>
      </c>
      <c r="M840">
        <v>95</v>
      </c>
      <c r="N840">
        <v>93</v>
      </c>
      <c r="O840">
        <v>3</v>
      </c>
      <c r="P840">
        <v>14</v>
      </c>
      <c r="Q840" t="s">
        <v>42</v>
      </c>
      <c r="R840" t="s">
        <v>62</v>
      </c>
    </row>
    <row r="841" spans="1:18" x14ac:dyDescent="0.25">
      <c r="A841">
        <v>1840</v>
      </c>
      <c r="B841" t="s">
        <v>1639</v>
      </c>
      <c r="C841" t="s">
        <v>27</v>
      </c>
      <c r="D841" t="s">
        <v>28</v>
      </c>
      <c r="E841" t="s">
        <v>85</v>
      </c>
      <c r="F841" t="s">
        <v>86</v>
      </c>
      <c r="G841">
        <v>4.0999999999999996</v>
      </c>
      <c r="H841">
        <v>62407</v>
      </c>
      <c r="I841" t="s">
        <v>1640</v>
      </c>
      <c r="J841">
        <v>89.9</v>
      </c>
      <c r="K841">
        <v>16.2</v>
      </c>
      <c r="L841">
        <v>96.3</v>
      </c>
      <c r="M841">
        <v>92</v>
      </c>
      <c r="N841">
        <v>86</v>
      </c>
      <c r="O841">
        <v>2</v>
      </c>
      <c r="P841">
        <v>15</v>
      </c>
      <c r="Q841" t="s">
        <v>42</v>
      </c>
      <c r="R841" t="s">
        <v>62</v>
      </c>
    </row>
    <row r="842" spans="1:18" x14ac:dyDescent="0.25">
      <c r="A842">
        <v>1841</v>
      </c>
      <c r="B842" t="s">
        <v>1641</v>
      </c>
      <c r="C842" t="s">
        <v>19</v>
      </c>
      <c r="D842" t="s">
        <v>81</v>
      </c>
      <c r="E842" t="s">
        <v>39</v>
      </c>
      <c r="F842" t="s">
        <v>76</v>
      </c>
      <c r="G842">
        <v>4</v>
      </c>
      <c r="H842">
        <v>53569</v>
      </c>
      <c r="I842" t="s">
        <v>1642</v>
      </c>
      <c r="J842">
        <v>93.9</v>
      </c>
      <c r="K842">
        <v>23.6</v>
      </c>
      <c r="L842">
        <v>77.3</v>
      </c>
      <c r="M842">
        <v>71</v>
      </c>
      <c r="N842">
        <v>56</v>
      </c>
      <c r="O842">
        <v>6</v>
      </c>
      <c r="P842">
        <v>20</v>
      </c>
      <c r="Q842" t="s">
        <v>37</v>
      </c>
      <c r="R842" t="s">
        <v>57</v>
      </c>
    </row>
    <row r="843" spans="1:18" x14ac:dyDescent="0.25">
      <c r="A843">
        <v>1842</v>
      </c>
      <c r="B843" t="s">
        <v>1643</v>
      </c>
      <c r="C843" t="s">
        <v>49</v>
      </c>
      <c r="D843" t="s">
        <v>59</v>
      </c>
      <c r="E843" t="s">
        <v>60</v>
      </c>
      <c r="F843" t="s">
        <v>35</v>
      </c>
      <c r="G843">
        <v>3.4</v>
      </c>
      <c r="H843">
        <v>58103</v>
      </c>
      <c r="I843" t="s">
        <v>1299</v>
      </c>
      <c r="J843">
        <v>87.9</v>
      </c>
      <c r="K843">
        <v>13.8</v>
      </c>
      <c r="L843">
        <v>98.5</v>
      </c>
      <c r="M843">
        <v>65</v>
      </c>
      <c r="N843">
        <v>65</v>
      </c>
      <c r="O843">
        <v>0</v>
      </c>
      <c r="P843">
        <v>24</v>
      </c>
      <c r="Q843" t="s">
        <v>42</v>
      </c>
      <c r="R843" t="s">
        <v>62</v>
      </c>
    </row>
    <row r="844" spans="1:18" x14ac:dyDescent="0.25">
      <c r="A844">
        <v>1843</v>
      </c>
      <c r="B844" t="s">
        <v>1644</v>
      </c>
      <c r="C844" t="s">
        <v>49</v>
      </c>
      <c r="D844" t="s">
        <v>50</v>
      </c>
      <c r="E844" t="s">
        <v>163</v>
      </c>
      <c r="F844" t="s">
        <v>40</v>
      </c>
      <c r="G844">
        <v>3.7</v>
      </c>
      <c r="H844">
        <v>45204</v>
      </c>
      <c r="I844" t="s">
        <v>1645</v>
      </c>
      <c r="J844">
        <v>94.1</v>
      </c>
      <c r="K844">
        <v>0</v>
      </c>
      <c r="L844">
        <v>88.1</v>
      </c>
      <c r="M844">
        <v>54</v>
      </c>
      <c r="N844">
        <v>47</v>
      </c>
      <c r="O844">
        <v>5</v>
      </c>
      <c r="P844">
        <v>13</v>
      </c>
      <c r="Q844" t="s">
        <v>42</v>
      </c>
      <c r="R844" t="s">
        <v>25</v>
      </c>
    </row>
    <row r="845" spans="1:18" x14ac:dyDescent="0.25">
      <c r="A845">
        <v>1844</v>
      </c>
      <c r="B845" t="s">
        <v>1646</v>
      </c>
      <c r="C845" t="s">
        <v>19</v>
      </c>
      <c r="D845" t="s">
        <v>20</v>
      </c>
      <c r="E845" t="s">
        <v>21</v>
      </c>
      <c r="F845" t="s">
        <v>103</v>
      </c>
      <c r="G845">
        <v>4.0999999999999996</v>
      </c>
      <c r="H845">
        <v>68451</v>
      </c>
      <c r="I845" t="s">
        <v>1530</v>
      </c>
      <c r="J845">
        <v>86.3</v>
      </c>
      <c r="K845">
        <v>28.3</v>
      </c>
      <c r="L845">
        <v>80.2</v>
      </c>
      <c r="M845">
        <v>77</v>
      </c>
      <c r="N845">
        <v>63</v>
      </c>
      <c r="O845">
        <v>2</v>
      </c>
      <c r="P845">
        <v>15</v>
      </c>
      <c r="Q845" t="s">
        <v>37</v>
      </c>
      <c r="R845" t="s">
        <v>25</v>
      </c>
    </row>
    <row r="846" spans="1:18" x14ac:dyDescent="0.25">
      <c r="A846">
        <v>1845</v>
      </c>
      <c r="B846" t="s">
        <v>1647</v>
      </c>
      <c r="C846" t="s">
        <v>49</v>
      </c>
      <c r="D846" t="s">
        <v>50</v>
      </c>
      <c r="E846" t="s">
        <v>163</v>
      </c>
      <c r="F846" t="s">
        <v>103</v>
      </c>
      <c r="G846">
        <v>0.3</v>
      </c>
      <c r="H846">
        <v>28000</v>
      </c>
      <c r="I846" t="s">
        <v>1648</v>
      </c>
      <c r="J846">
        <v>100</v>
      </c>
      <c r="K846">
        <v>11.6</v>
      </c>
      <c r="L846">
        <v>90</v>
      </c>
      <c r="M846">
        <v>59</v>
      </c>
      <c r="N846">
        <v>54</v>
      </c>
      <c r="O846">
        <v>2</v>
      </c>
      <c r="P846">
        <v>10</v>
      </c>
      <c r="Q846" t="s">
        <v>42</v>
      </c>
      <c r="R846" t="s">
        <v>62</v>
      </c>
    </row>
    <row r="847" spans="1:18" x14ac:dyDescent="0.25">
      <c r="A847">
        <v>1846</v>
      </c>
      <c r="B847" t="s">
        <v>1649</v>
      </c>
      <c r="C847" t="s">
        <v>89</v>
      </c>
      <c r="D847" t="s">
        <v>121</v>
      </c>
      <c r="E847" t="s">
        <v>152</v>
      </c>
      <c r="F847" t="s">
        <v>86</v>
      </c>
      <c r="G847">
        <v>4.7</v>
      </c>
      <c r="H847">
        <v>61538</v>
      </c>
      <c r="I847" t="s">
        <v>1650</v>
      </c>
      <c r="J847">
        <v>96</v>
      </c>
      <c r="K847">
        <v>15.6</v>
      </c>
      <c r="L847">
        <v>90.9</v>
      </c>
      <c r="M847">
        <v>60</v>
      </c>
      <c r="N847">
        <v>50</v>
      </c>
      <c r="O847">
        <v>0</v>
      </c>
      <c r="P847">
        <v>12</v>
      </c>
      <c r="Q847" t="s">
        <v>42</v>
      </c>
      <c r="R847" t="s">
        <v>62</v>
      </c>
    </row>
    <row r="848" spans="1:18" x14ac:dyDescent="0.25">
      <c r="A848">
        <v>1847</v>
      </c>
      <c r="B848" t="s">
        <v>1651</v>
      </c>
      <c r="C848" t="s">
        <v>44</v>
      </c>
      <c r="D848" t="s">
        <v>45</v>
      </c>
      <c r="E848" t="s">
        <v>46</v>
      </c>
      <c r="F848" t="s">
        <v>86</v>
      </c>
      <c r="G848">
        <v>6.4</v>
      </c>
      <c r="H848">
        <v>82424</v>
      </c>
      <c r="I848" t="s">
        <v>307</v>
      </c>
      <c r="J848">
        <v>90</v>
      </c>
      <c r="K848">
        <v>20.8</v>
      </c>
      <c r="L848">
        <v>68</v>
      </c>
      <c r="M848">
        <v>92</v>
      </c>
      <c r="N848">
        <v>58</v>
      </c>
      <c r="O848">
        <v>3</v>
      </c>
      <c r="P848">
        <v>18</v>
      </c>
      <c r="Q848" t="s">
        <v>37</v>
      </c>
      <c r="R848" t="s">
        <v>203</v>
      </c>
    </row>
    <row r="849" spans="1:18" x14ac:dyDescent="0.25">
      <c r="A849">
        <v>1848</v>
      </c>
      <c r="B849" t="s">
        <v>1652</v>
      </c>
      <c r="C849" t="s">
        <v>49</v>
      </c>
      <c r="D849" t="s">
        <v>59</v>
      </c>
      <c r="E849" t="s">
        <v>163</v>
      </c>
      <c r="F849" t="s">
        <v>22</v>
      </c>
      <c r="G849">
        <v>4.5999999999999996</v>
      </c>
      <c r="H849">
        <v>64481</v>
      </c>
      <c r="I849" t="s">
        <v>247</v>
      </c>
      <c r="J849">
        <v>96.5</v>
      </c>
      <c r="K849">
        <v>6.2</v>
      </c>
      <c r="L849">
        <v>84.6</v>
      </c>
      <c r="M849">
        <v>35</v>
      </c>
      <c r="N849">
        <v>30</v>
      </c>
      <c r="O849">
        <v>1</v>
      </c>
      <c r="P849">
        <v>7</v>
      </c>
      <c r="Q849" t="s">
        <v>24</v>
      </c>
      <c r="R849" t="s">
        <v>25</v>
      </c>
    </row>
    <row r="850" spans="1:18" x14ac:dyDescent="0.25">
      <c r="A850">
        <v>1849</v>
      </c>
      <c r="B850" t="s">
        <v>1653</v>
      </c>
      <c r="C850" t="s">
        <v>27</v>
      </c>
      <c r="D850" t="s">
        <v>64</v>
      </c>
      <c r="E850" t="s">
        <v>29</v>
      </c>
      <c r="F850" t="s">
        <v>35</v>
      </c>
      <c r="G850">
        <v>5.0999999999999996</v>
      </c>
      <c r="H850">
        <v>77239</v>
      </c>
      <c r="I850" t="s">
        <v>1654</v>
      </c>
      <c r="J850">
        <v>97.2</v>
      </c>
      <c r="K850">
        <v>18.600000000000001</v>
      </c>
      <c r="L850">
        <v>88.1</v>
      </c>
      <c r="M850">
        <v>88</v>
      </c>
      <c r="N850">
        <v>82</v>
      </c>
      <c r="O850">
        <v>2</v>
      </c>
      <c r="P850">
        <v>16</v>
      </c>
      <c r="Q850" t="s">
        <v>42</v>
      </c>
      <c r="R850" t="s">
        <v>25</v>
      </c>
    </row>
    <row r="851" spans="1:18" x14ac:dyDescent="0.25">
      <c r="A851">
        <v>1850</v>
      </c>
      <c r="B851" t="s">
        <v>1655</v>
      </c>
      <c r="C851" t="s">
        <v>19</v>
      </c>
      <c r="D851" t="s">
        <v>137</v>
      </c>
      <c r="E851" t="s">
        <v>21</v>
      </c>
      <c r="F851" t="s">
        <v>103</v>
      </c>
      <c r="G851">
        <v>1.7</v>
      </c>
      <c r="H851">
        <v>48177</v>
      </c>
      <c r="I851" t="s">
        <v>1656</v>
      </c>
      <c r="J851">
        <v>100</v>
      </c>
      <c r="K851">
        <v>15.8</v>
      </c>
      <c r="L851">
        <v>92</v>
      </c>
      <c r="M851">
        <v>74</v>
      </c>
      <c r="N851">
        <v>60</v>
      </c>
      <c r="O851">
        <v>0</v>
      </c>
      <c r="P851">
        <v>21</v>
      </c>
      <c r="Q851" t="s">
        <v>42</v>
      </c>
      <c r="R851" t="s">
        <v>62</v>
      </c>
    </row>
    <row r="852" spans="1:18" x14ac:dyDescent="0.25">
      <c r="A852">
        <v>1851</v>
      </c>
      <c r="B852" t="s">
        <v>1657</v>
      </c>
      <c r="C852" t="s">
        <v>44</v>
      </c>
      <c r="D852" t="s">
        <v>54</v>
      </c>
      <c r="E852" t="s">
        <v>46</v>
      </c>
      <c r="F852" t="s">
        <v>22</v>
      </c>
      <c r="G852">
        <v>4.5999999999999996</v>
      </c>
      <c r="H852">
        <v>54745</v>
      </c>
      <c r="I852" t="s">
        <v>1658</v>
      </c>
      <c r="J852">
        <v>94.3</v>
      </c>
      <c r="K852">
        <v>26.3</v>
      </c>
      <c r="L852">
        <v>75.900000000000006</v>
      </c>
      <c r="M852">
        <v>85</v>
      </c>
      <c r="N852">
        <v>66</v>
      </c>
      <c r="O852">
        <v>5</v>
      </c>
      <c r="P852">
        <v>15</v>
      </c>
      <c r="Q852" t="s">
        <v>37</v>
      </c>
      <c r="R852" t="s">
        <v>57</v>
      </c>
    </row>
    <row r="853" spans="1:18" x14ac:dyDescent="0.25">
      <c r="A853">
        <v>1852</v>
      </c>
      <c r="B853" t="s">
        <v>1659</v>
      </c>
      <c r="C853" t="s">
        <v>89</v>
      </c>
      <c r="D853" t="s">
        <v>102</v>
      </c>
      <c r="E853" t="s">
        <v>152</v>
      </c>
      <c r="F853" t="s">
        <v>86</v>
      </c>
      <c r="G853">
        <v>1.5</v>
      </c>
      <c r="H853">
        <v>44610</v>
      </c>
      <c r="I853" t="s">
        <v>1660</v>
      </c>
      <c r="J853">
        <v>88.6</v>
      </c>
      <c r="K853">
        <v>0</v>
      </c>
      <c r="L853">
        <v>93.2</v>
      </c>
      <c r="M853">
        <v>80</v>
      </c>
      <c r="N853">
        <v>67</v>
      </c>
      <c r="O853">
        <v>5</v>
      </c>
      <c r="P853">
        <v>22</v>
      </c>
      <c r="Q853" t="s">
        <v>42</v>
      </c>
      <c r="R853" t="s">
        <v>62</v>
      </c>
    </row>
    <row r="854" spans="1:18" x14ac:dyDescent="0.25">
      <c r="A854">
        <v>1853</v>
      </c>
      <c r="B854" t="s">
        <v>1661</v>
      </c>
      <c r="C854" t="s">
        <v>49</v>
      </c>
      <c r="D854" t="s">
        <v>59</v>
      </c>
      <c r="E854" t="s">
        <v>60</v>
      </c>
      <c r="F854" t="s">
        <v>22</v>
      </c>
      <c r="G854">
        <v>0.2</v>
      </c>
      <c r="H854">
        <v>38199</v>
      </c>
      <c r="I854" t="s">
        <v>1662</v>
      </c>
      <c r="J854">
        <v>86.5</v>
      </c>
      <c r="K854">
        <v>18.8</v>
      </c>
      <c r="L854">
        <v>83.1</v>
      </c>
      <c r="M854">
        <v>53</v>
      </c>
      <c r="N854">
        <v>45</v>
      </c>
      <c r="O854">
        <v>4</v>
      </c>
      <c r="P854">
        <v>16</v>
      </c>
      <c r="Q854" t="s">
        <v>24</v>
      </c>
      <c r="R854" t="s">
        <v>25</v>
      </c>
    </row>
    <row r="855" spans="1:18" x14ac:dyDescent="0.25">
      <c r="A855">
        <v>1854</v>
      </c>
      <c r="B855" t="s">
        <v>1663</v>
      </c>
      <c r="C855" t="s">
        <v>44</v>
      </c>
      <c r="D855" t="s">
        <v>70</v>
      </c>
      <c r="E855" t="s">
        <v>55</v>
      </c>
      <c r="F855" t="s">
        <v>35</v>
      </c>
      <c r="G855">
        <v>4</v>
      </c>
      <c r="H855">
        <v>65793</v>
      </c>
      <c r="I855" t="s">
        <v>1664</v>
      </c>
      <c r="J855">
        <v>96.7</v>
      </c>
      <c r="K855">
        <v>14.7</v>
      </c>
      <c r="L855">
        <v>79.5</v>
      </c>
      <c r="M855">
        <v>97</v>
      </c>
      <c r="N855">
        <v>77</v>
      </c>
      <c r="O855">
        <v>2</v>
      </c>
      <c r="P855">
        <v>8</v>
      </c>
      <c r="Q855" t="s">
        <v>24</v>
      </c>
      <c r="R855" t="s">
        <v>57</v>
      </c>
    </row>
    <row r="856" spans="1:18" x14ac:dyDescent="0.25">
      <c r="A856">
        <v>1855</v>
      </c>
      <c r="B856" t="s">
        <v>1665</v>
      </c>
      <c r="C856" t="s">
        <v>44</v>
      </c>
      <c r="D856" t="s">
        <v>70</v>
      </c>
      <c r="E856" t="s">
        <v>46</v>
      </c>
      <c r="F856" t="s">
        <v>76</v>
      </c>
      <c r="G856">
        <v>1.2</v>
      </c>
      <c r="H856">
        <v>49389</v>
      </c>
      <c r="I856" t="s">
        <v>1666</v>
      </c>
      <c r="J856">
        <v>92.2</v>
      </c>
      <c r="K856">
        <v>35.200000000000003</v>
      </c>
      <c r="L856">
        <v>76.2</v>
      </c>
      <c r="M856">
        <v>99</v>
      </c>
      <c r="N856">
        <v>69</v>
      </c>
      <c r="O856">
        <v>5</v>
      </c>
      <c r="P856">
        <v>13</v>
      </c>
      <c r="Q856" t="s">
        <v>37</v>
      </c>
      <c r="R856" t="s">
        <v>57</v>
      </c>
    </row>
    <row r="857" spans="1:18" x14ac:dyDescent="0.25">
      <c r="A857">
        <v>1856</v>
      </c>
      <c r="B857" t="s">
        <v>1667</v>
      </c>
      <c r="C857" t="s">
        <v>49</v>
      </c>
      <c r="D857" t="s">
        <v>59</v>
      </c>
      <c r="E857" t="s">
        <v>60</v>
      </c>
      <c r="F857" t="s">
        <v>76</v>
      </c>
      <c r="G857">
        <v>3.2</v>
      </c>
      <c r="H857">
        <v>49613</v>
      </c>
      <c r="I857" t="s">
        <v>1668</v>
      </c>
      <c r="J857">
        <v>89.2</v>
      </c>
      <c r="K857">
        <v>8.1999999999999993</v>
      </c>
      <c r="L857">
        <v>80.599999999999994</v>
      </c>
      <c r="M857">
        <v>69</v>
      </c>
      <c r="N857">
        <v>52</v>
      </c>
      <c r="O857">
        <v>0</v>
      </c>
      <c r="P857">
        <v>13</v>
      </c>
      <c r="Q857" t="s">
        <v>42</v>
      </c>
      <c r="R857" t="s">
        <v>25</v>
      </c>
    </row>
    <row r="858" spans="1:18" x14ac:dyDescent="0.25">
      <c r="A858">
        <v>1857</v>
      </c>
      <c r="B858" t="s">
        <v>1669</v>
      </c>
      <c r="C858" t="s">
        <v>19</v>
      </c>
      <c r="D858" t="s">
        <v>137</v>
      </c>
      <c r="E858" t="s">
        <v>21</v>
      </c>
      <c r="F858" t="s">
        <v>22</v>
      </c>
      <c r="G858">
        <v>8.1999999999999993</v>
      </c>
      <c r="H858">
        <v>78219</v>
      </c>
      <c r="I858" t="s">
        <v>1670</v>
      </c>
      <c r="J858">
        <v>95.6</v>
      </c>
      <c r="K858">
        <v>24.8</v>
      </c>
      <c r="L858">
        <v>79.900000000000006</v>
      </c>
      <c r="M858">
        <v>106</v>
      </c>
      <c r="N858">
        <v>88</v>
      </c>
      <c r="O858">
        <v>3</v>
      </c>
      <c r="P858">
        <v>10</v>
      </c>
      <c r="Q858" t="s">
        <v>24</v>
      </c>
      <c r="R858" t="s">
        <v>57</v>
      </c>
    </row>
    <row r="859" spans="1:18" x14ac:dyDescent="0.25">
      <c r="A859">
        <v>1858</v>
      </c>
      <c r="B859" t="s">
        <v>1671</v>
      </c>
      <c r="C859" t="s">
        <v>44</v>
      </c>
      <c r="D859" t="s">
        <v>70</v>
      </c>
      <c r="E859" t="s">
        <v>97</v>
      </c>
      <c r="F859" t="s">
        <v>40</v>
      </c>
      <c r="G859">
        <v>8.9</v>
      </c>
      <c r="H859">
        <v>88911</v>
      </c>
      <c r="I859" t="s">
        <v>1672</v>
      </c>
      <c r="J859">
        <v>94.5</v>
      </c>
      <c r="K859">
        <v>13.2</v>
      </c>
      <c r="L859">
        <v>72.599999999999994</v>
      </c>
      <c r="M859">
        <v>86</v>
      </c>
      <c r="N859">
        <v>51</v>
      </c>
      <c r="O859">
        <v>5</v>
      </c>
      <c r="P859">
        <v>13</v>
      </c>
      <c r="Q859" t="s">
        <v>37</v>
      </c>
      <c r="R859" t="s">
        <v>57</v>
      </c>
    </row>
    <row r="860" spans="1:18" x14ac:dyDescent="0.25">
      <c r="A860">
        <v>1859</v>
      </c>
      <c r="B860" t="s">
        <v>1673</v>
      </c>
      <c r="C860" t="s">
        <v>89</v>
      </c>
      <c r="D860" t="s">
        <v>90</v>
      </c>
      <c r="E860" t="s">
        <v>91</v>
      </c>
      <c r="F860" t="s">
        <v>103</v>
      </c>
      <c r="G860">
        <v>4.8</v>
      </c>
      <c r="H860">
        <v>75045</v>
      </c>
      <c r="I860" t="s">
        <v>1674</v>
      </c>
      <c r="J860">
        <v>95.8</v>
      </c>
      <c r="K860">
        <v>17.600000000000001</v>
      </c>
      <c r="L860">
        <v>98.9</v>
      </c>
      <c r="M860">
        <v>77</v>
      </c>
      <c r="N860">
        <v>77</v>
      </c>
      <c r="O860">
        <v>7</v>
      </c>
      <c r="P860">
        <v>16</v>
      </c>
      <c r="Q860" t="s">
        <v>42</v>
      </c>
      <c r="R860" t="s">
        <v>62</v>
      </c>
    </row>
    <row r="861" spans="1:18" x14ac:dyDescent="0.25">
      <c r="A861">
        <v>1860</v>
      </c>
      <c r="B861" t="s">
        <v>1675</v>
      </c>
      <c r="C861" t="s">
        <v>27</v>
      </c>
      <c r="D861" t="s">
        <v>28</v>
      </c>
      <c r="E861" t="s">
        <v>85</v>
      </c>
      <c r="F861" t="s">
        <v>76</v>
      </c>
      <c r="G861">
        <v>7.7</v>
      </c>
      <c r="H861">
        <v>88479</v>
      </c>
      <c r="I861" t="s">
        <v>1676</v>
      </c>
      <c r="J861">
        <v>91.8</v>
      </c>
      <c r="K861">
        <v>1</v>
      </c>
      <c r="L861">
        <v>90.7</v>
      </c>
      <c r="M861">
        <v>57</v>
      </c>
      <c r="N861">
        <v>46</v>
      </c>
      <c r="O861">
        <v>2</v>
      </c>
      <c r="P861">
        <v>13</v>
      </c>
      <c r="Q861" t="s">
        <v>42</v>
      </c>
      <c r="R861" t="s">
        <v>62</v>
      </c>
    </row>
    <row r="862" spans="1:18" x14ac:dyDescent="0.25">
      <c r="A862">
        <v>1861</v>
      </c>
      <c r="B862" t="s">
        <v>1677</v>
      </c>
      <c r="C862" t="s">
        <v>27</v>
      </c>
      <c r="D862" t="s">
        <v>28</v>
      </c>
      <c r="E862" t="s">
        <v>29</v>
      </c>
      <c r="F862" t="s">
        <v>22</v>
      </c>
      <c r="G862">
        <v>3.5</v>
      </c>
      <c r="H862">
        <v>50621</v>
      </c>
      <c r="I862" t="s">
        <v>1678</v>
      </c>
      <c r="J862">
        <v>93.4</v>
      </c>
      <c r="K862">
        <v>11.1</v>
      </c>
      <c r="L862">
        <v>92.6</v>
      </c>
      <c r="M862">
        <v>65</v>
      </c>
      <c r="N862">
        <v>61</v>
      </c>
      <c r="O862">
        <v>1</v>
      </c>
      <c r="P862">
        <v>9</v>
      </c>
      <c r="Q862" t="s">
        <v>42</v>
      </c>
      <c r="R862" t="s">
        <v>62</v>
      </c>
    </row>
    <row r="863" spans="1:18" x14ac:dyDescent="0.25">
      <c r="A863">
        <v>1862</v>
      </c>
      <c r="B863" t="s">
        <v>1679</v>
      </c>
      <c r="C863" t="s">
        <v>32</v>
      </c>
      <c r="D863" t="s">
        <v>67</v>
      </c>
      <c r="E863" t="s">
        <v>94</v>
      </c>
      <c r="F863" t="s">
        <v>86</v>
      </c>
      <c r="G863">
        <v>4.2</v>
      </c>
      <c r="H863">
        <v>65249</v>
      </c>
      <c r="I863" t="s">
        <v>1680</v>
      </c>
      <c r="J863">
        <v>99.4</v>
      </c>
      <c r="K863">
        <v>23.7</v>
      </c>
      <c r="L863">
        <v>96.5</v>
      </c>
      <c r="M863">
        <v>103</v>
      </c>
      <c r="N863">
        <v>101</v>
      </c>
      <c r="O863">
        <v>2</v>
      </c>
      <c r="P863">
        <v>18</v>
      </c>
      <c r="Q863" t="s">
        <v>42</v>
      </c>
      <c r="R863" t="s">
        <v>62</v>
      </c>
    </row>
    <row r="864" spans="1:18" x14ac:dyDescent="0.25">
      <c r="A864">
        <v>1863</v>
      </c>
      <c r="B864" t="s">
        <v>1681</v>
      </c>
      <c r="C864" t="s">
        <v>44</v>
      </c>
      <c r="D864" t="s">
        <v>45</v>
      </c>
      <c r="E864" t="s">
        <v>97</v>
      </c>
      <c r="F864" t="s">
        <v>22</v>
      </c>
      <c r="G864">
        <v>0.5</v>
      </c>
      <c r="H864">
        <v>42730</v>
      </c>
      <c r="I864" t="s">
        <v>1682</v>
      </c>
      <c r="J864">
        <v>95.1</v>
      </c>
      <c r="K864">
        <v>15</v>
      </c>
      <c r="L864">
        <v>82.4</v>
      </c>
      <c r="M864">
        <v>96</v>
      </c>
      <c r="N864">
        <v>76</v>
      </c>
      <c r="O864">
        <v>3</v>
      </c>
      <c r="P864">
        <v>21</v>
      </c>
      <c r="Q864" t="s">
        <v>24</v>
      </c>
      <c r="R864" t="s">
        <v>25</v>
      </c>
    </row>
    <row r="865" spans="1:18" x14ac:dyDescent="0.25">
      <c r="A865">
        <v>1864</v>
      </c>
      <c r="B865" t="s">
        <v>1683</v>
      </c>
      <c r="C865" t="s">
        <v>27</v>
      </c>
      <c r="D865" t="s">
        <v>75</v>
      </c>
      <c r="E865" t="s">
        <v>118</v>
      </c>
      <c r="F865" t="s">
        <v>103</v>
      </c>
      <c r="G865">
        <v>1.9</v>
      </c>
      <c r="H865">
        <v>50231</v>
      </c>
      <c r="I865" t="s">
        <v>1684</v>
      </c>
      <c r="J865">
        <v>92.7</v>
      </c>
      <c r="K865">
        <v>16.7</v>
      </c>
      <c r="L865">
        <v>96.1</v>
      </c>
      <c r="M865">
        <v>81</v>
      </c>
      <c r="N865">
        <v>78</v>
      </c>
      <c r="O865">
        <v>0</v>
      </c>
      <c r="P865">
        <v>9</v>
      </c>
      <c r="Q865" t="s">
        <v>42</v>
      </c>
      <c r="R865" t="s">
        <v>62</v>
      </c>
    </row>
    <row r="866" spans="1:18" x14ac:dyDescent="0.25">
      <c r="A866">
        <v>1865</v>
      </c>
      <c r="B866" t="s">
        <v>1685</v>
      </c>
      <c r="C866" t="s">
        <v>32</v>
      </c>
      <c r="D866" t="s">
        <v>67</v>
      </c>
      <c r="E866" t="s">
        <v>34</v>
      </c>
      <c r="F866" t="s">
        <v>103</v>
      </c>
      <c r="G866">
        <v>0.2</v>
      </c>
      <c r="H866">
        <v>39216</v>
      </c>
      <c r="I866" t="s">
        <v>1467</v>
      </c>
      <c r="J866">
        <v>91.2</v>
      </c>
      <c r="K866">
        <v>10.4</v>
      </c>
      <c r="L866">
        <v>75.3</v>
      </c>
      <c r="M866">
        <v>79</v>
      </c>
      <c r="N866">
        <v>53</v>
      </c>
      <c r="O866">
        <v>4</v>
      </c>
      <c r="P866">
        <v>14</v>
      </c>
      <c r="Q866" t="s">
        <v>24</v>
      </c>
      <c r="R866" t="s">
        <v>57</v>
      </c>
    </row>
    <row r="867" spans="1:18" x14ac:dyDescent="0.25">
      <c r="A867">
        <v>1866</v>
      </c>
      <c r="B867" t="s">
        <v>1686</v>
      </c>
      <c r="C867" t="s">
        <v>44</v>
      </c>
      <c r="D867" t="s">
        <v>70</v>
      </c>
      <c r="E867" t="s">
        <v>46</v>
      </c>
      <c r="F867" t="s">
        <v>86</v>
      </c>
      <c r="G867">
        <v>4.2</v>
      </c>
      <c r="H867">
        <v>64494</v>
      </c>
      <c r="I867" t="s">
        <v>221</v>
      </c>
      <c r="J867">
        <v>92</v>
      </c>
      <c r="K867">
        <v>12.6</v>
      </c>
      <c r="L867">
        <v>84.3</v>
      </c>
      <c r="M867">
        <v>89</v>
      </c>
      <c r="N867">
        <v>75</v>
      </c>
      <c r="O867">
        <v>2</v>
      </c>
      <c r="P867">
        <v>31</v>
      </c>
      <c r="Q867" t="s">
        <v>24</v>
      </c>
      <c r="R867" t="s">
        <v>25</v>
      </c>
    </row>
    <row r="868" spans="1:18" x14ac:dyDescent="0.25">
      <c r="A868">
        <v>1867</v>
      </c>
      <c r="B868" t="s">
        <v>1687</v>
      </c>
      <c r="C868" t="s">
        <v>32</v>
      </c>
      <c r="D868" t="s">
        <v>67</v>
      </c>
      <c r="E868" t="s">
        <v>128</v>
      </c>
      <c r="F868" t="s">
        <v>40</v>
      </c>
      <c r="G868">
        <v>3.3</v>
      </c>
      <c r="H868">
        <v>56761</v>
      </c>
      <c r="I868" t="s">
        <v>1688</v>
      </c>
      <c r="J868">
        <v>99.7</v>
      </c>
      <c r="K868">
        <v>24.3</v>
      </c>
      <c r="L868">
        <v>92.3</v>
      </c>
      <c r="M868">
        <v>112</v>
      </c>
      <c r="N868">
        <v>101</v>
      </c>
      <c r="O868">
        <v>0</v>
      </c>
      <c r="P868">
        <v>24</v>
      </c>
      <c r="Q868" t="s">
        <v>24</v>
      </c>
      <c r="R868" t="s">
        <v>62</v>
      </c>
    </row>
    <row r="869" spans="1:18" x14ac:dyDescent="0.25">
      <c r="A869">
        <v>1868</v>
      </c>
      <c r="B869" t="s">
        <v>1689</v>
      </c>
      <c r="C869" t="s">
        <v>27</v>
      </c>
      <c r="D869" t="s">
        <v>28</v>
      </c>
      <c r="E869" t="s">
        <v>118</v>
      </c>
      <c r="F869" t="s">
        <v>103</v>
      </c>
      <c r="G869">
        <v>4.3</v>
      </c>
      <c r="H869">
        <v>66578</v>
      </c>
      <c r="I869" t="s">
        <v>193</v>
      </c>
      <c r="J869">
        <v>95.8</v>
      </c>
      <c r="K869">
        <v>17.399999999999999</v>
      </c>
      <c r="L869">
        <v>81.8</v>
      </c>
      <c r="M869">
        <v>54</v>
      </c>
      <c r="N869">
        <v>47</v>
      </c>
      <c r="O869">
        <v>1</v>
      </c>
      <c r="P869">
        <v>11</v>
      </c>
      <c r="Q869" t="s">
        <v>24</v>
      </c>
      <c r="R869" t="s">
        <v>25</v>
      </c>
    </row>
    <row r="870" spans="1:18" x14ac:dyDescent="0.25">
      <c r="A870">
        <v>1869</v>
      </c>
      <c r="B870" t="s">
        <v>1690</v>
      </c>
      <c r="C870" t="s">
        <v>27</v>
      </c>
      <c r="D870" t="s">
        <v>64</v>
      </c>
      <c r="E870" t="s">
        <v>85</v>
      </c>
      <c r="F870" t="s">
        <v>76</v>
      </c>
      <c r="G870">
        <v>5.5</v>
      </c>
      <c r="H870">
        <v>76107</v>
      </c>
      <c r="I870" t="s">
        <v>1464</v>
      </c>
      <c r="J870">
        <v>91.8</v>
      </c>
      <c r="K870">
        <v>0</v>
      </c>
      <c r="L870">
        <v>83.6</v>
      </c>
      <c r="M870">
        <v>73</v>
      </c>
      <c r="N870">
        <v>52</v>
      </c>
      <c r="O870">
        <v>6</v>
      </c>
      <c r="P870">
        <v>16</v>
      </c>
      <c r="Q870" t="s">
        <v>24</v>
      </c>
      <c r="R870" t="s">
        <v>25</v>
      </c>
    </row>
    <row r="871" spans="1:18" x14ac:dyDescent="0.25">
      <c r="A871">
        <v>1870</v>
      </c>
      <c r="B871" t="s">
        <v>1691</v>
      </c>
      <c r="C871" t="s">
        <v>27</v>
      </c>
      <c r="D871" t="s">
        <v>28</v>
      </c>
      <c r="E871" t="s">
        <v>85</v>
      </c>
      <c r="F871" t="s">
        <v>86</v>
      </c>
      <c r="G871">
        <v>5.4</v>
      </c>
      <c r="H871">
        <v>63267</v>
      </c>
      <c r="I871" t="s">
        <v>1692</v>
      </c>
      <c r="J871">
        <v>95.9</v>
      </c>
      <c r="K871">
        <v>11.2</v>
      </c>
      <c r="L871">
        <v>87.3</v>
      </c>
      <c r="M871">
        <v>90</v>
      </c>
      <c r="N871">
        <v>76</v>
      </c>
      <c r="O871">
        <v>7</v>
      </c>
      <c r="P871">
        <v>16</v>
      </c>
      <c r="Q871" t="s">
        <v>42</v>
      </c>
      <c r="R871" t="s">
        <v>25</v>
      </c>
    </row>
    <row r="872" spans="1:18" x14ac:dyDescent="0.25">
      <c r="A872">
        <v>1871</v>
      </c>
      <c r="B872" t="s">
        <v>1693</v>
      </c>
      <c r="C872" t="s">
        <v>27</v>
      </c>
      <c r="D872" t="s">
        <v>75</v>
      </c>
      <c r="E872" t="s">
        <v>29</v>
      </c>
      <c r="F872" t="s">
        <v>103</v>
      </c>
      <c r="G872">
        <v>6.4</v>
      </c>
      <c r="H872">
        <v>76858</v>
      </c>
      <c r="I872" t="s">
        <v>361</v>
      </c>
      <c r="J872">
        <v>94.7</v>
      </c>
      <c r="K872">
        <v>13.7</v>
      </c>
      <c r="L872">
        <v>91.3</v>
      </c>
      <c r="M872">
        <v>57</v>
      </c>
      <c r="N872">
        <v>50</v>
      </c>
      <c r="O872">
        <v>4</v>
      </c>
      <c r="P872">
        <v>2</v>
      </c>
      <c r="Q872" t="s">
        <v>42</v>
      </c>
      <c r="R872" t="s">
        <v>62</v>
      </c>
    </row>
    <row r="873" spans="1:18" x14ac:dyDescent="0.25">
      <c r="A873">
        <v>1872</v>
      </c>
      <c r="B873" t="s">
        <v>1694</v>
      </c>
      <c r="C873" t="s">
        <v>49</v>
      </c>
      <c r="D873" t="s">
        <v>178</v>
      </c>
      <c r="E873" t="s">
        <v>60</v>
      </c>
      <c r="F873" t="s">
        <v>76</v>
      </c>
      <c r="G873">
        <v>0.2</v>
      </c>
      <c r="H873">
        <v>35560</v>
      </c>
      <c r="I873" t="s">
        <v>155</v>
      </c>
      <c r="J873">
        <v>88.8</v>
      </c>
      <c r="K873">
        <v>7.5</v>
      </c>
      <c r="L873">
        <v>91.2</v>
      </c>
      <c r="M873">
        <v>69</v>
      </c>
      <c r="N873">
        <v>57</v>
      </c>
      <c r="O873">
        <v>4</v>
      </c>
      <c r="P873">
        <v>18</v>
      </c>
      <c r="Q873" t="s">
        <v>42</v>
      </c>
      <c r="R873" t="s">
        <v>62</v>
      </c>
    </row>
    <row r="874" spans="1:18" x14ac:dyDescent="0.25">
      <c r="A874">
        <v>1873</v>
      </c>
      <c r="B874" t="s">
        <v>1695</v>
      </c>
      <c r="C874" t="s">
        <v>27</v>
      </c>
      <c r="D874" t="s">
        <v>64</v>
      </c>
      <c r="E874" t="s">
        <v>118</v>
      </c>
      <c r="F874" t="s">
        <v>35</v>
      </c>
      <c r="G874">
        <v>8.6999999999999993</v>
      </c>
      <c r="H874">
        <v>95046</v>
      </c>
      <c r="I874" t="s">
        <v>1696</v>
      </c>
      <c r="J874">
        <v>89.7</v>
      </c>
      <c r="K874">
        <v>2</v>
      </c>
      <c r="L874">
        <v>82.8</v>
      </c>
      <c r="M874">
        <v>65</v>
      </c>
      <c r="N874">
        <v>45</v>
      </c>
      <c r="O874">
        <v>1</v>
      </c>
      <c r="P874">
        <v>8</v>
      </c>
      <c r="Q874" t="s">
        <v>42</v>
      </c>
      <c r="R874" t="s">
        <v>25</v>
      </c>
    </row>
    <row r="875" spans="1:18" x14ac:dyDescent="0.25">
      <c r="A875">
        <v>1874</v>
      </c>
      <c r="B875" t="s">
        <v>1697</v>
      </c>
      <c r="C875" t="s">
        <v>49</v>
      </c>
      <c r="D875" t="s">
        <v>59</v>
      </c>
      <c r="E875" t="s">
        <v>163</v>
      </c>
      <c r="F875" t="s">
        <v>22</v>
      </c>
      <c r="G875">
        <v>9.3000000000000007</v>
      </c>
      <c r="H875">
        <v>95175</v>
      </c>
      <c r="I875" t="s">
        <v>357</v>
      </c>
      <c r="J875">
        <v>92.8</v>
      </c>
      <c r="K875">
        <v>7</v>
      </c>
      <c r="L875">
        <v>81.599999999999994</v>
      </c>
      <c r="M875">
        <v>61</v>
      </c>
      <c r="N875">
        <v>50</v>
      </c>
      <c r="O875">
        <v>2</v>
      </c>
      <c r="P875">
        <v>9</v>
      </c>
      <c r="Q875" t="s">
        <v>42</v>
      </c>
      <c r="R875" t="s">
        <v>25</v>
      </c>
    </row>
    <row r="876" spans="1:18" x14ac:dyDescent="0.25">
      <c r="A876">
        <v>1875</v>
      </c>
      <c r="B876" t="s">
        <v>1698</v>
      </c>
      <c r="C876" t="s">
        <v>32</v>
      </c>
      <c r="D876" t="s">
        <v>106</v>
      </c>
      <c r="E876" t="s">
        <v>128</v>
      </c>
      <c r="F876" t="s">
        <v>76</v>
      </c>
      <c r="G876">
        <v>1.1000000000000001</v>
      </c>
      <c r="H876">
        <v>42324</v>
      </c>
      <c r="I876" t="s">
        <v>1699</v>
      </c>
      <c r="J876">
        <v>94.9</v>
      </c>
      <c r="K876">
        <v>16.899999999999999</v>
      </c>
      <c r="L876">
        <v>87.5</v>
      </c>
      <c r="M876">
        <v>92</v>
      </c>
      <c r="N876">
        <v>85</v>
      </c>
      <c r="O876">
        <v>1</v>
      </c>
      <c r="P876">
        <v>25</v>
      </c>
      <c r="Q876" t="s">
        <v>24</v>
      </c>
      <c r="R876" t="s">
        <v>25</v>
      </c>
    </row>
    <row r="877" spans="1:18" x14ac:dyDescent="0.25">
      <c r="A877">
        <v>1876</v>
      </c>
      <c r="B877" t="s">
        <v>1700</v>
      </c>
      <c r="C877" t="s">
        <v>49</v>
      </c>
      <c r="D877" t="s">
        <v>178</v>
      </c>
      <c r="E877" t="s">
        <v>51</v>
      </c>
      <c r="F877" t="s">
        <v>40</v>
      </c>
      <c r="G877">
        <v>6.9</v>
      </c>
      <c r="H877">
        <v>64982</v>
      </c>
      <c r="I877" t="s">
        <v>1701</v>
      </c>
      <c r="J877">
        <v>91.6</v>
      </c>
      <c r="K877">
        <v>7.9</v>
      </c>
      <c r="L877">
        <v>82.4</v>
      </c>
      <c r="M877">
        <v>63</v>
      </c>
      <c r="N877">
        <v>50</v>
      </c>
      <c r="O877">
        <v>5</v>
      </c>
      <c r="P877">
        <v>8</v>
      </c>
      <c r="Q877" t="s">
        <v>42</v>
      </c>
      <c r="R877" t="s">
        <v>25</v>
      </c>
    </row>
    <row r="878" spans="1:18" x14ac:dyDescent="0.25">
      <c r="A878">
        <v>1877</v>
      </c>
      <c r="B878" t="s">
        <v>1702</v>
      </c>
      <c r="C878" t="s">
        <v>19</v>
      </c>
      <c r="D878" t="s">
        <v>81</v>
      </c>
      <c r="E878" t="s">
        <v>21</v>
      </c>
      <c r="F878" t="s">
        <v>22</v>
      </c>
      <c r="G878">
        <v>5.4</v>
      </c>
      <c r="H878">
        <v>67441</v>
      </c>
      <c r="I878" t="s">
        <v>1703</v>
      </c>
      <c r="J878">
        <v>97.2</v>
      </c>
      <c r="K878">
        <v>8.5</v>
      </c>
      <c r="L878">
        <v>82.4</v>
      </c>
      <c r="M878">
        <v>68</v>
      </c>
      <c r="N878">
        <v>59</v>
      </c>
      <c r="O878">
        <v>2</v>
      </c>
      <c r="P878">
        <v>7</v>
      </c>
      <c r="Q878" t="s">
        <v>24</v>
      </c>
      <c r="R878" t="s">
        <v>25</v>
      </c>
    </row>
    <row r="879" spans="1:18" x14ac:dyDescent="0.25">
      <c r="A879">
        <v>1878</v>
      </c>
      <c r="B879" t="s">
        <v>1704</v>
      </c>
      <c r="C879" t="s">
        <v>27</v>
      </c>
      <c r="D879" t="s">
        <v>28</v>
      </c>
      <c r="E879" t="s">
        <v>118</v>
      </c>
      <c r="F879" t="s">
        <v>103</v>
      </c>
      <c r="G879">
        <v>2.6</v>
      </c>
      <c r="H879">
        <v>61558</v>
      </c>
      <c r="I879" t="s">
        <v>114</v>
      </c>
      <c r="J879">
        <v>91.3</v>
      </c>
      <c r="K879">
        <v>6.7</v>
      </c>
      <c r="L879">
        <v>84.6</v>
      </c>
      <c r="M879">
        <v>61</v>
      </c>
      <c r="N879">
        <v>51</v>
      </c>
      <c r="O879">
        <v>0</v>
      </c>
      <c r="P879">
        <v>8</v>
      </c>
      <c r="Q879" t="s">
        <v>42</v>
      </c>
      <c r="R879" t="s">
        <v>25</v>
      </c>
    </row>
    <row r="880" spans="1:18" x14ac:dyDescent="0.25">
      <c r="A880">
        <v>1879</v>
      </c>
      <c r="B880" t="s">
        <v>1705</v>
      </c>
      <c r="C880" t="s">
        <v>44</v>
      </c>
      <c r="D880" t="s">
        <v>54</v>
      </c>
      <c r="E880" t="s">
        <v>97</v>
      </c>
      <c r="F880" t="s">
        <v>22</v>
      </c>
      <c r="G880">
        <v>0.8</v>
      </c>
      <c r="H880">
        <v>38560</v>
      </c>
      <c r="I880" t="s">
        <v>1706</v>
      </c>
      <c r="J880">
        <v>98.4</v>
      </c>
      <c r="K880">
        <v>23.6</v>
      </c>
      <c r="L880">
        <v>92.4</v>
      </c>
      <c r="M880">
        <v>108</v>
      </c>
      <c r="N880">
        <v>97</v>
      </c>
      <c r="O880">
        <v>0</v>
      </c>
      <c r="P880">
        <v>21</v>
      </c>
      <c r="Q880" t="s">
        <v>24</v>
      </c>
      <c r="R880" t="s">
        <v>62</v>
      </c>
    </row>
    <row r="881" spans="1:18" x14ac:dyDescent="0.25">
      <c r="A881">
        <v>1880</v>
      </c>
      <c r="B881" t="s">
        <v>1707</v>
      </c>
      <c r="C881" t="s">
        <v>27</v>
      </c>
      <c r="D881" t="s">
        <v>64</v>
      </c>
      <c r="E881" t="s">
        <v>85</v>
      </c>
      <c r="F881" t="s">
        <v>86</v>
      </c>
      <c r="G881">
        <v>4.9000000000000004</v>
      </c>
      <c r="H881">
        <v>73155</v>
      </c>
      <c r="I881" t="s">
        <v>1708</v>
      </c>
      <c r="J881">
        <v>98.1</v>
      </c>
      <c r="K881">
        <v>14.8</v>
      </c>
      <c r="L881">
        <v>80.099999999999994</v>
      </c>
      <c r="M881">
        <v>74</v>
      </c>
      <c r="N881">
        <v>55</v>
      </c>
      <c r="O881">
        <v>5</v>
      </c>
      <c r="P881">
        <v>9</v>
      </c>
      <c r="Q881" t="s">
        <v>42</v>
      </c>
      <c r="R881" t="s">
        <v>25</v>
      </c>
    </row>
    <row r="882" spans="1:18" x14ac:dyDescent="0.25">
      <c r="A882">
        <v>1881</v>
      </c>
      <c r="B882" t="s">
        <v>1709</v>
      </c>
      <c r="C882" t="s">
        <v>89</v>
      </c>
      <c r="D882" t="s">
        <v>121</v>
      </c>
      <c r="E882" t="s">
        <v>91</v>
      </c>
      <c r="F882" t="s">
        <v>40</v>
      </c>
      <c r="G882">
        <v>2.2999999999999998</v>
      </c>
      <c r="H882">
        <v>58873</v>
      </c>
      <c r="I882" t="s">
        <v>1710</v>
      </c>
      <c r="J882">
        <v>97.2</v>
      </c>
      <c r="K882">
        <v>12.5</v>
      </c>
      <c r="L882">
        <v>84.2</v>
      </c>
      <c r="M882">
        <v>91</v>
      </c>
      <c r="N882">
        <v>80</v>
      </c>
      <c r="O882">
        <v>4</v>
      </c>
      <c r="P882">
        <v>23</v>
      </c>
      <c r="Q882" t="s">
        <v>42</v>
      </c>
      <c r="R882" t="s">
        <v>25</v>
      </c>
    </row>
    <row r="883" spans="1:18" x14ac:dyDescent="0.25">
      <c r="A883">
        <v>1882</v>
      </c>
      <c r="B883" t="s">
        <v>1711</v>
      </c>
      <c r="C883" t="s">
        <v>19</v>
      </c>
      <c r="D883" t="s">
        <v>20</v>
      </c>
      <c r="E883" t="s">
        <v>39</v>
      </c>
      <c r="F883" t="s">
        <v>40</v>
      </c>
      <c r="G883">
        <v>0.2</v>
      </c>
      <c r="H883">
        <v>33315</v>
      </c>
      <c r="I883" t="s">
        <v>1712</v>
      </c>
      <c r="J883">
        <v>95.5</v>
      </c>
      <c r="K883">
        <v>12.4</v>
      </c>
      <c r="L883">
        <v>83.8</v>
      </c>
      <c r="M883">
        <v>81</v>
      </c>
      <c r="N883">
        <v>65</v>
      </c>
      <c r="O883">
        <v>2</v>
      </c>
      <c r="P883">
        <v>16</v>
      </c>
      <c r="Q883" t="s">
        <v>24</v>
      </c>
      <c r="R883" t="s">
        <v>25</v>
      </c>
    </row>
    <row r="884" spans="1:18" x14ac:dyDescent="0.25">
      <c r="A884">
        <v>1883</v>
      </c>
      <c r="B884" t="s">
        <v>1713</v>
      </c>
      <c r="C884" t="s">
        <v>27</v>
      </c>
      <c r="D884" t="s">
        <v>28</v>
      </c>
      <c r="E884" t="s">
        <v>118</v>
      </c>
      <c r="F884" t="s">
        <v>40</v>
      </c>
      <c r="G884">
        <v>3.4</v>
      </c>
      <c r="H884">
        <v>65679</v>
      </c>
      <c r="I884" t="s">
        <v>1546</v>
      </c>
      <c r="J884">
        <v>91.1</v>
      </c>
      <c r="K884">
        <v>5.5</v>
      </c>
      <c r="L884">
        <v>89.8</v>
      </c>
      <c r="M884">
        <v>65</v>
      </c>
      <c r="N884">
        <v>56</v>
      </c>
      <c r="O884">
        <v>1</v>
      </c>
      <c r="P884">
        <v>9</v>
      </c>
      <c r="Q884" t="s">
        <v>24</v>
      </c>
      <c r="R884" t="s">
        <v>25</v>
      </c>
    </row>
    <row r="885" spans="1:18" x14ac:dyDescent="0.25">
      <c r="A885">
        <v>1884</v>
      </c>
      <c r="B885" t="s">
        <v>1714</v>
      </c>
      <c r="C885" t="s">
        <v>89</v>
      </c>
      <c r="D885" t="s">
        <v>121</v>
      </c>
      <c r="E885" t="s">
        <v>91</v>
      </c>
      <c r="F885" t="s">
        <v>86</v>
      </c>
      <c r="G885">
        <v>6.2</v>
      </c>
      <c r="H885">
        <v>70405</v>
      </c>
      <c r="I885" t="s">
        <v>133</v>
      </c>
      <c r="J885">
        <v>92.7</v>
      </c>
      <c r="K885">
        <v>6.4</v>
      </c>
      <c r="L885">
        <v>94</v>
      </c>
      <c r="M885">
        <v>75</v>
      </c>
      <c r="N885">
        <v>70</v>
      </c>
      <c r="O885">
        <v>3</v>
      </c>
      <c r="P885">
        <v>6</v>
      </c>
      <c r="Q885" t="s">
        <v>42</v>
      </c>
      <c r="R885" t="s">
        <v>62</v>
      </c>
    </row>
    <row r="886" spans="1:18" x14ac:dyDescent="0.25">
      <c r="A886">
        <v>1885</v>
      </c>
      <c r="B886" t="s">
        <v>1715</v>
      </c>
      <c r="C886" t="s">
        <v>32</v>
      </c>
      <c r="D886" t="s">
        <v>33</v>
      </c>
      <c r="E886" t="s">
        <v>34</v>
      </c>
      <c r="F886" t="s">
        <v>22</v>
      </c>
      <c r="G886">
        <v>5</v>
      </c>
      <c r="H886">
        <v>65830</v>
      </c>
      <c r="I886" t="s">
        <v>728</v>
      </c>
      <c r="J886">
        <v>89.1</v>
      </c>
      <c r="K886">
        <v>15.9</v>
      </c>
      <c r="L886">
        <v>83.4</v>
      </c>
      <c r="M886">
        <v>107</v>
      </c>
      <c r="N886">
        <v>93</v>
      </c>
      <c r="O886">
        <v>3</v>
      </c>
      <c r="P886">
        <v>15</v>
      </c>
      <c r="Q886" t="s">
        <v>24</v>
      </c>
      <c r="R886" t="s">
        <v>25</v>
      </c>
    </row>
    <row r="887" spans="1:18" x14ac:dyDescent="0.25">
      <c r="A887">
        <v>1886</v>
      </c>
      <c r="B887" t="s">
        <v>1716</v>
      </c>
      <c r="C887" t="s">
        <v>27</v>
      </c>
      <c r="D887" t="s">
        <v>64</v>
      </c>
      <c r="E887" t="s">
        <v>85</v>
      </c>
      <c r="F887" t="s">
        <v>35</v>
      </c>
      <c r="G887">
        <v>3</v>
      </c>
      <c r="H887">
        <v>52321</v>
      </c>
      <c r="I887" t="s">
        <v>1717</v>
      </c>
      <c r="J887">
        <v>97.8</v>
      </c>
      <c r="K887">
        <v>5.2</v>
      </c>
      <c r="L887">
        <v>91.2</v>
      </c>
      <c r="M887">
        <v>80</v>
      </c>
      <c r="N887">
        <v>76</v>
      </c>
      <c r="O887">
        <v>0</v>
      </c>
      <c r="P887">
        <v>15</v>
      </c>
      <c r="Q887" t="s">
        <v>42</v>
      </c>
      <c r="R887" t="s">
        <v>62</v>
      </c>
    </row>
    <row r="888" spans="1:18" x14ac:dyDescent="0.25">
      <c r="A888">
        <v>1887</v>
      </c>
      <c r="B888" t="s">
        <v>1718</v>
      </c>
      <c r="C888" t="s">
        <v>89</v>
      </c>
      <c r="D888" t="s">
        <v>102</v>
      </c>
      <c r="E888" t="s">
        <v>152</v>
      </c>
      <c r="F888" t="s">
        <v>76</v>
      </c>
      <c r="G888">
        <v>4.7</v>
      </c>
      <c r="H888">
        <v>73192</v>
      </c>
      <c r="I888" t="s">
        <v>1719</v>
      </c>
      <c r="J888">
        <v>93.8</v>
      </c>
      <c r="K888">
        <v>17.3</v>
      </c>
      <c r="L888">
        <v>89.2</v>
      </c>
      <c r="M888">
        <v>90</v>
      </c>
      <c r="N888">
        <v>77</v>
      </c>
      <c r="O888">
        <v>0</v>
      </c>
      <c r="P888">
        <v>17</v>
      </c>
      <c r="Q888" t="s">
        <v>42</v>
      </c>
      <c r="R888" t="s">
        <v>25</v>
      </c>
    </row>
    <row r="889" spans="1:18" x14ac:dyDescent="0.25">
      <c r="A889">
        <v>1888</v>
      </c>
      <c r="B889" t="s">
        <v>1720</v>
      </c>
      <c r="C889" t="s">
        <v>89</v>
      </c>
      <c r="D889" t="s">
        <v>102</v>
      </c>
      <c r="E889" t="s">
        <v>111</v>
      </c>
      <c r="F889" t="s">
        <v>76</v>
      </c>
      <c r="G889">
        <v>6.5</v>
      </c>
      <c r="H889">
        <v>72869</v>
      </c>
      <c r="I889" t="s">
        <v>1721</v>
      </c>
      <c r="J889">
        <v>89.8</v>
      </c>
      <c r="K889">
        <v>17.3</v>
      </c>
      <c r="L889">
        <v>89.7</v>
      </c>
      <c r="M889">
        <v>114</v>
      </c>
      <c r="N889">
        <v>88</v>
      </c>
      <c r="O889">
        <v>2</v>
      </c>
      <c r="P889">
        <v>18</v>
      </c>
      <c r="Q889" t="s">
        <v>24</v>
      </c>
      <c r="R889" t="s">
        <v>25</v>
      </c>
    </row>
    <row r="890" spans="1:18" x14ac:dyDescent="0.25">
      <c r="A890">
        <v>1889</v>
      </c>
      <c r="B890" t="s">
        <v>1722</v>
      </c>
      <c r="C890" t="s">
        <v>32</v>
      </c>
      <c r="D890" t="s">
        <v>67</v>
      </c>
      <c r="E890" t="s">
        <v>34</v>
      </c>
      <c r="F890" t="s">
        <v>35</v>
      </c>
      <c r="G890">
        <v>3.4</v>
      </c>
      <c r="H890">
        <v>59000</v>
      </c>
      <c r="I890" t="s">
        <v>1542</v>
      </c>
      <c r="J890">
        <v>94.6</v>
      </c>
      <c r="K890">
        <v>24.3</v>
      </c>
      <c r="L890">
        <v>89</v>
      </c>
      <c r="M890">
        <v>107</v>
      </c>
      <c r="N890">
        <v>96</v>
      </c>
      <c r="O890">
        <v>1</v>
      </c>
      <c r="P890">
        <v>7</v>
      </c>
      <c r="Q890" t="s">
        <v>24</v>
      </c>
      <c r="R890" t="s">
        <v>25</v>
      </c>
    </row>
    <row r="891" spans="1:18" x14ac:dyDescent="0.25">
      <c r="A891">
        <v>1890</v>
      </c>
      <c r="B891" t="s">
        <v>1723</v>
      </c>
      <c r="C891" t="s">
        <v>32</v>
      </c>
      <c r="D891" t="s">
        <v>106</v>
      </c>
      <c r="E891" t="s">
        <v>34</v>
      </c>
      <c r="F891" t="s">
        <v>76</v>
      </c>
      <c r="G891">
        <v>4.9000000000000004</v>
      </c>
      <c r="H891">
        <v>68445</v>
      </c>
      <c r="I891" t="s">
        <v>1724</v>
      </c>
      <c r="J891">
        <v>100</v>
      </c>
      <c r="K891">
        <v>38</v>
      </c>
      <c r="L891">
        <v>83.1</v>
      </c>
      <c r="M891">
        <v>114</v>
      </c>
      <c r="N891">
        <v>98</v>
      </c>
      <c r="O891">
        <v>4</v>
      </c>
      <c r="P891">
        <v>12</v>
      </c>
      <c r="Q891" t="s">
        <v>37</v>
      </c>
      <c r="R891" t="s">
        <v>25</v>
      </c>
    </row>
    <row r="892" spans="1:18" x14ac:dyDescent="0.25">
      <c r="A892">
        <v>1891</v>
      </c>
      <c r="B892" t="s">
        <v>1725</v>
      </c>
      <c r="C892" t="s">
        <v>49</v>
      </c>
      <c r="D892" t="s">
        <v>50</v>
      </c>
      <c r="E892" t="s">
        <v>60</v>
      </c>
      <c r="F892" t="s">
        <v>103</v>
      </c>
      <c r="G892">
        <v>3.3</v>
      </c>
      <c r="H892">
        <v>55292</v>
      </c>
      <c r="I892" t="s">
        <v>1133</v>
      </c>
      <c r="J892">
        <v>92.1</v>
      </c>
      <c r="K892">
        <v>0</v>
      </c>
      <c r="L892">
        <v>87.6</v>
      </c>
      <c r="M892">
        <v>40</v>
      </c>
      <c r="N892">
        <v>33</v>
      </c>
      <c r="O892">
        <v>4</v>
      </c>
      <c r="P892">
        <v>8</v>
      </c>
      <c r="Q892" t="s">
        <v>24</v>
      </c>
      <c r="R892" t="s">
        <v>25</v>
      </c>
    </row>
    <row r="893" spans="1:18" x14ac:dyDescent="0.25">
      <c r="A893">
        <v>1892</v>
      </c>
      <c r="B893" t="s">
        <v>1726</v>
      </c>
      <c r="C893" t="s">
        <v>32</v>
      </c>
      <c r="D893" t="s">
        <v>67</v>
      </c>
      <c r="E893" t="s">
        <v>34</v>
      </c>
      <c r="F893" t="s">
        <v>76</v>
      </c>
      <c r="G893">
        <v>2.5</v>
      </c>
      <c r="H893">
        <v>43486</v>
      </c>
      <c r="I893" t="s">
        <v>1727</v>
      </c>
      <c r="J893">
        <v>92.3</v>
      </c>
      <c r="K893">
        <v>25.3</v>
      </c>
      <c r="L893">
        <v>92.7</v>
      </c>
      <c r="M893">
        <v>80</v>
      </c>
      <c r="N893">
        <v>80</v>
      </c>
      <c r="O893">
        <v>1</v>
      </c>
      <c r="P893">
        <v>17</v>
      </c>
      <c r="Q893" t="s">
        <v>24</v>
      </c>
      <c r="R893" t="s">
        <v>62</v>
      </c>
    </row>
    <row r="894" spans="1:18" x14ac:dyDescent="0.25">
      <c r="A894">
        <v>1893</v>
      </c>
      <c r="B894" t="s">
        <v>1728</v>
      </c>
      <c r="C894" t="s">
        <v>32</v>
      </c>
      <c r="D894" t="s">
        <v>33</v>
      </c>
      <c r="E894" t="s">
        <v>128</v>
      </c>
      <c r="F894" t="s">
        <v>76</v>
      </c>
      <c r="G894">
        <v>5.0999999999999996</v>
      </c>
      <c r="H894">
        <v>77625</v>
      </c>
      <c r="I894" t="s">
        <v>1160</v>
      </c>
      <c r="J894">
        <v>94.4</v>
      </c>
      <c r="K894">
        <v>15.3</v>
      </c>
      <c r="L894">
        <v>81.2</v>
      </c>
      <c r="M894">
        <v>111</v>
      </c>
      <c r="N894">
        <v>93</v>
      </c>
      <c r="O894">
        <v>3</v>
      </c>
      <c r="P894">
        <v>17</v>
      </c>
      <c r="Q894" t="s">
        <v>24</v>
      </c>
      <c r="R894" t="s">
        <v>25</v>
      </c>
    </row>
    <row r="895" spans="1:18" x14ac:dyDescent="0.25">
      <c r="A895">
        <v>1894</v>
      </c>
      <c r="B895" t="s">
        <v>1729</v>
      </c>
      <c r="C895" t="s">
        <v>44</v>
      </c>
      <c r="D895" t="s">
        <v>45</v>
      </c>
      <c r="E895" t="s">
        <v>97</v>
      </c>
      <c r="F895" t="s">
        <v>76</v>
      </c>
      <c r="G895">
        <v>2.9</v>
      </c>
      <c r="H895">
        <v>66074</v>
      </c>
      <c r="I895" t="s">
        <v>845</v>
      </c>
      <c r="J895">
        <v>91</v>
      </c>
      <c r="K895">
        <v>18.5</v>
      </c>
      <c r="L895">
        <v>75.8</v>
      </c>
      <c r="M895">
        <v>114</v>
      </c>
      <c r="N895">
        <v>88</v>
      </c>
      <c r="O895">
        <v>5</v>
      </c>
      <c r="P895">
        <v>21</v>
      </c>
      <c r="Q895" t="s">
        <v>37</v>
      </c>
      <c r="R895" t="s">
        <v>57</v>
      </c>
    </row>
    <row r="896" spans="1:18" x14ac:dyDescent="0.25">
      <c r="A896">
        <v>1895</v>
      </c>
      <c r="B896" t="s">
        <v>1730</v>
      </c>
      <c r="C896" t="s">
        <v>49</v>
      </c>
      <c r="D896" t="s">
        <v>59</v>
      </c>
      <c r="E896" t="s">
        <v>51</v>
      </c>
      <c r="F896" t="s">
        <v>103</v>
      </c>
      <c r="G896">
        <v>6.9</v>
      </c>
      <c r="H896">
        <v>75239</v>
      </c>
      <c r="I896" t="s">
        <v>1731</v>
      </c>
      <c r="J896">
        <v>93.6</v>
      </c>
      <c r="K896">
        <v>18.100000000000001</v>
      </c>
      <c r="L896">
        <v>83</v>
      </c>
      <c r="M896">
        <v>90</v>
      </c>
      <c r="N896">
        <v>74</v>
      </c>
      <c r="O896">
        <v>2</v>
      </c>
      <c r="P896">
        <v>17</v>
      </c>
      <c r="Q896" t="s">
        <v>42</v>
      </c>
      <c r="R896" t="s">
        <v>25</v>
      </c>
    </row>
    <row r="897" spans="1:18" x14ac:dyDescent="0.25">
      <c r="A897">
        <v>1896</v>
      </c>
      <c r="B897" t="s">
        <v>1732</v>
      </c>
      <c r="C897" t="s">
        <v>89</v>
      </c>
      <c r="D897" t="s">
        <v>102</v>
      </c>
      <c r="E897" t="s">
        <v>152</v>
      </c>
      <c r="F897" t="s">
        <v>103</v>
      </c>
      <c r="G897">
        <v>2.4</v>
      </c>
      <c r="H897">
        <v>49135</v>
      </c>
      <c r="I897" t="s">
        <v>1733</v>
      </c>
      <c r="J897">
        <v>95.1</v>
      </c>
      <c r="K897">
        <v>8.1999999999999993</v>
      </c>
      <c r="L897">
        <v>91.2</v>
      </c>
      <c r="M897">
        <v>71</v>
      </c>
      <c r="N897">
        <v>68</v>
      </c>
      <c r="O897">
        <v>1</v>
      </c>
      <c r="P897">
        <v>19</v>
      </c>
      <c r="Q897" t="s">
        <v>24</v>
      </c>
      <c r="R897" t="s">
        <v>62</v>
      </c>
    </row>
    <row r="898" spans="1:18" x14ac:dyDescent="0.25">
      <c r="A898">
        <v>1897</v>
      </c>
      <c r="B898" t="s">
        <v>1734</v>
      </c>
      <c r="C898" t="s">
        <v>44</v>
      </c>
      <c r="D898" t="s">
        <v>70</v>
      </c>
      <c r="E898" t="s">
        <v>55</v>
      </c>
      <c r="F898" t="s">
        <v>76</v>
      </c>
      <c r="G898">
        <v>6.6</v>
      </c>
      <c r="H898">
        <v>78232</v>
      </c>
      <c r="I898" t="s">
        <v>792</v>
      </c>
      <c r="J898">
        <v>93.6</v>
      </c>
      <c r="K898">
        <v>11.6</v>
      </c>
      <c r="L898">
        <v>76.5</v>
      </c>
      <c r="M898">
        <v>74</v>
      </c>
      <c r="N898">
        <v>57</v>
      </c>
      <c r="O898">
        <v>5</v>
      </c>
      <c r="P898">
        <v>17</v>
      </c>
      <c r="Q898" t="s">
        <v>24</v>
      </c>
      <c r="R898" t="s">
        <v>57</v>
      </c>
    </row>
    <row r="899" spans="1:18" x14ac:dyDescent="0.25">
      <c r="A899">
        <v>1898</v>
      </c>
      <c r="B899" t="s">
        <v>1735</v>
      </c>
      <c r="C899" t="s">
        <v>49</v>
      </c>
      <c r="D899" t="s">
        <v>59</v>
      </c>
      <c r="E899" t="s">
        <v>163</v>
      </c>
      <c r="F899" t="s">
        <v>103</v>
      </c>
      <c r="G899">
        <v>5.2</v>
      </c>
      <c r="H899">
        <v>80528</v>
      </c>
      <c r="I899" t="s">
        <v>1736</v>
      </c>
      <c r="J899">
        <v>100</v>
      </c>
      <c r="K899">
        <v>3.6</v>
      </c>
      <c r="L899">
        <v>88</v>
      </c>
      <c r="M899">
        <v>57</v>
      </c>
      <c r="N899">
        <v>55</v>
      </c>
      <c r="O899">
        <v>1</v>
      </c>
      <c r="P899">
        <v>11</v>
      </c>
      <c r="Q899" t="s">
        <v>42</v>
      </c>
      <c r="R899" t="s">
        <v>25</v>
      </c>
    </row>
    <row r="900" spans="1:18" x14ac:dyDescent="0.25">
      <c r="A900">
        <v>1899</v>
      </c>
      <c r="B900" t="s">
        <v>1737</v>
      </c>
      <c r="C900" t="s">
        <v>32</v>
      </c>
      <c r="D900" t="s">
        <v>67</v>
      </c>
      <c r="E900" t="s">
        <v>128</v>
      </c>
      <c r="F900" t="s">
        <v>103</v>
      </c>
      <c r="G900">
        <v>7.3</v>
      </c>
      <c r="H900">
        <v>90792</v>
      </c>
      <c r="I900" t="s">
        <v>251</v>
      </c>
      <c r="J900">
        <v>91.6</v>
      </c>
      <c r="K900">
        <v>22.7</v>
      </c>
      <c r="L900">
        <v>79.5</v>
      </c>
      <c r="M900">
        <v>83</v>
      </c>
      <c r="N900">
        <v>57</v>
      </c>
      <c r="O900">
        <v>5</v>
      </c>
      <c r="P900">
        <v>22</v>
      </c>
      <c r="Q900" t="s">
        <v>37</v>
      </c>
      <c r="R900" t="s">
        <v>57</v>
      </c>
    </row>
    <row r="901" spans="1:18" x14ac:dyDescent="0.25">
      <c r="A901">
        <v>1900</v>
      </c>
      <c r="B901" t="s">
        <v>1738</v>
      </c>
      <c r="C901" t="s">
        <v>89</v>
      </c>
      <c r="D901" t="s">
        <v>121</v>
      </c>
      <c r="E901" t="s">
        <v>152</v>
      </c>
      <c r="F901" t="s">
        <v>76</v>
      </c>
      <c r="G901">
        <v>6.6</v>
      </c>
      <c r="H901">
        <v>78925</v>
      </c>
      <c r="I901" t="s">
        <v>1739</v>
      </c>
      <c r="J901">
        <v>97.1</v>
      </c>
      <c r="K901">
        <v>16.2</v>
      </c>
      <c r="L901">
        <v>90.2</v>
      </c>
      <c r="M901">
        <v>75</v>
      </c>
      <c r="N901">
        <v>65</v>
      </c>
      <c r="O901">
        <v>1</v>
      </c>
      <c r="P901">
        <v>5</v>
      </c>
      <c r="Q901" t="s">
        <v>42</v>
      </c>
      <c r="R901" t="s">
        <v>62</v>
      </c>
    </row>
    <row r="902" spans="1:18" x14ac:dyDescent="0.25">
      <c r="A902">
        <v>1901</v>
      </c>
      <c r="B902" t="s">
        <v>1740</v>
      </c>
      <c r="C902" t="s">
        <v>49</v>
      </c>
      <c r="D902" t="s">
        <v>50</v>
      </c>
      <c r="E902" t="s">
        <v>163</v>
      </c>
      <c r="F902" t="s">
        <v>103</v>
      </c>
      <c r="G902">
        <v>1.4</v>
      </c>
      <c r="H902">
        <v>40038</v>
      </c>
      <c r="I902" t="s">
        <v>1692</v>
      </c>
      <c r="J902">
        <v>98.5</v>
      </c>
      <c r="K902">
        <v>3.5</v>
      </c>
      <c r="L902">
        <v>92.6</v>
      </c>
      <c r="M902">
        <v>66</v>
      </c>
      <c r="N902">
        <v>64</v>
      </c>
      <c r="O902">
        <v>0</v>
      </c>
      <c r="P902">
        <v>18</v>
      </c>
      <c r="Q902" t="s">
        <v>42</v>
      </c>
      <c r="R902" t="s">
        <v>62</v>
      </c>
    </row>
    <row r="903" spans="1:18" x14ac:dyDescent="0.25">
      <c r="A903">
        <v>1902</v>
      </c>
      <c r="B903" t="s">
        <v>1741</v>
      </c>
      <c r="C903" t="s">
        <v>49</v>
      </c>
      <c r="D903" t="s">
        <v>178</v>
      </c>
      <c r="E903" t="s">
        <v>60</v>
      </c>
      <c r="F903" t="s">
        <v>22</v>
      </c>
      <c r="G903">
        <v>4.3</v>
      </c>
      <c r="H903">
        <v>66173</v>
      </c>
      <c r="I903" t="s">
        <v>1742</v>
      </c>
      <c r="J903">
        <v>89.5</v>
      </c>
      <c r="K903">
        <v>6.2</v>
      </c>
      <c r="L903">
        <v>82.3</v>
      </c>
      <c r="M903">
        <v>52</v>
      </c>
      <c r="N903">
        <v>46</v>
      </c>
      <c r="O903">
        <v>7</v>
      </c>
      <c r="P903">
        <v>22</v>
      </c>
      <c r="Q903" t="s">
        <v>42</v>
      </c>
      <c r="R903" t="s">
        <v>25</v>
      </c>
    </row>
    <row r="904" spans="1:18" x14ac:dyDescent="0.25">
      <c r="A904">
        <v>1903</v>
      </c>
      <c r="B904" t="s">
        <v>1743</v>
      </c>
      <c r="C904" t="s">
        <v>89</v>
      </c>
      <c r="D904" t="s">
        <v>90</v>
      </c>
      <c r="E904" t="s">
        <v>152</v>
      </c>
      <c r="F904" t="s">
        <v>40</v>
      </c>
      <c r="G904">
        <v>5.5</v>
      </c>
      <c r="H904">
        <v>69319</v>
      </c>
      <c r="I904" t="s">
        <v>1538</v>
      </c>
      <c r="J904">
        <v>88</v>
      </c>
      <c r="K904">
        <v>12.2</v>
      </c>
      <c r="L904">
        <v>92.5</v>
      </c>
      <c r="M904">
        <v>75</v>
      </c>
      <c r="N904">
        <v>64</v>
      </c>
      <c r="O904">
        <v>4</v>
      </c>
      <c r="P904">
        <v>11</v>
      </c>
      <c r="Q904" t="s">
        <v>42</v>
      </c>
      <c r="R904" t="s">
        <v>62</v>
      </c>
    </row>
    <row r="905" spans="1:18" x14ac:dyDescent="0.25">
      <c r="A905">
        <v>1904</v>
      </c>
      <c r="B905" t="s">
        <v>1744</v>
      </c>
      <c r="C905" t="s">
        <v>49</v>
      </c>
      <c r="D905" t="s">
        <v>50</v>
      </c>
      <c r="E905" t="s">
        <v>163</v>
      </c>
      <c r="F905" t="s">
        <v>86</v>
      </c>
      <c r="G905">
        <v>0.2</v>
      </c>
      <c r="H905">
        <v>32081</v>
      </c>
      <c r="I905" t="s">
        <v>1745</v>
      </c>
      <c r="J905">
        <v>94.1</v>
      </c>
      <c r="K905">
        <v>21.6</v>
      </c>
      <c r="L905">
        <v>87.7</v>
      </c>
      <c r="M905">
        <v>94</v>
      </c>
      <c r="N905">
        <v>82</v>
      </c>
      <c r="O905">
        <v>4</v>
      </c>
      <c r="P905">
        <v>16</v>
      </c>
      <c r="Q905" t="s">
        <v>42</v>
      </c>
      <c r="R905" t="s">
        <v>25</v>
      </c>
    </row>
    <row r="906" spans="1:18" x14ac:dyDescent="0.25">
      <c r="A906">
        <v>1905</v>
      </c>
      <c r="B906" t="s">
        <v>1746</v>
      </c>
      <c r="C906" t="s">
        <v>89</v>
      </c>
      <c r="D906" t="s">
        <v>102</v>
      </c>
      <c r="E906" t="s">
        <v>111</v>
      </c>
      <c r="F906" t="s">
        <v>22</v>
      </c>
      <c r="G906">
        <v>6.4</v>
      </c>
      <c r="H906">
        <v>89776</v>
      </c>
      <c r="I906" t="s">
        <v>1747</v>
      </c>
      <c r="J906">
        <v>93.6</v>
      </c>
      <c r="K906">
        <v>11.3</v>
      </c>
      <c r="L906">
        <v>90.1</v>
      </c>
      <c r="M906">
        <v>61</v>
      </c>
      <c r="N906">
        <v>51</v>
      </c>
      <c r="O906">
        <v>3</v>
      </c>
      <c r="P906">
        <v>21</v>
      </c>
      <c r="Q906" t="s">
        <v>42</v>
      </c>
      <c r="R906" t="s">
        <v>62</v>
      </c>
    </row>
    <row r="907" spans="1:18" x14ac:dyDescent="0.25">
      <c r="A907">
        <v>1906</v>
      </c>
      <c r="B907" t="s">
        <v>1748</v>
      </c>
      <c r="C907" t="s">
        <v>89</v>
      </c>
      <c r="D907" t="s">
        <v>121</v>
      </c>
      <c r="E907" t="s">
        <v>152</v>
      </c>
      <c r="F907" t="s">
        <v>40</v>
      </c>
      <c r="G907">
        <v>5.9</v>
      </c>
      <c r="H907">
        <v>76661</v>
      </c>
      <c r="I907" t="s">
        <v>1154</v>
      </c>
      <c r="J907">
        <v>90.7</v>
      </c>
      <c r="K907">
        <v>26</v>
      </c>
      <c r="L907">
        <v>86.9</v>
      </c>
      <c r="M907">
        <v>91</v>
      </c>
      <c r="N907">
        <v>82</v>
      </c>
      <c r="O907">
        <v>1</v>
      </c>
      <c r="P907">
        <v>17</v>
      </c>
      <c r="Q907" t="s">
        <v>24</v>
      </c>
      <c r="R907" t="s">
        <v>25</v>
      </c>
    </row>
    <row r="908" spans="1:18" x14ac:dyDescent="0.25">
      <c r="A908">
        <v>1907</v>
      </c>
      <c r="B908" t="s">
        <v>1749</v>
      </c>
      <c r="C908" t="s">
        <v>89</v>
      </c>
      <c r="D908" t="s">
        <v>102</v>
      </c>
      <c r="E908" t="s">
        <v>152</v>
      </c>
      <c r="F908" t="s">
        <v>35</v>
      </c>
      <c r="G908">
        <v>4.2</v>
      </c>
      <c r="H908">
        <v>71706</v>
      </c>
      <c r="I908" t="s">
        <v>1750</v>
      </c>
      <c r="J908">
        <v>93.5</v>
      </c>
      <c r="K908">
        <v>16.2</v>
      </c>
      <c r="L908">
        <v>90.6</v>
      </c>
      <c r="M908">
        <v>92</v>
      </c>
      <c r="N908">
        <v>80</v>
      </c>
      <c r="O908">
        <v>2</v>
      </c>
      <c r="P908">
        <v>15</v>
      </c>
      <c r="Q908" t="s">
        <v>42</v>
      </c>
      <c r="R908" t="s">
        <v>62</v>
      </c>
    </row>
    <row r="909" spans="1:18" x14ac:dyDescent="0.25">
      <c r="A909">
        <v>1908</v>
      </c>
      <c r="B909" t="s">
        <v>1751</v>
      </c>
      <c r="C909" t="s">
        <v>49</v>
      </c>
      <c r="D909" t="s">
        <v>178</v>
      </c>
      <c r="E909" t="s">
        <v>51</v>
      </c>
      <c r="F909" t="s">
        <v>40</v>
      </c>
      <c r="G909">
        <v>1.2</v>
      </c>
      <c r="H909">
        <v>31700</v>
      </c>
      <c r="I909" t="s">
        <v>1752</v>
      </c>
      <c r="J909">
        <v>88.5</v>
      </c>
      <c r="K909">
        <v>13.3</v>
      </c>
      <c r="L909">
        <v>85.2</v>
      </c>
      <c r="M909">
        <v>61</v>
      </c>
      <c r="N909">
        <v>49</v>
      </c>
      <c r="O909">
        <v>4</v>
      </c>
      <c r="P909">
        <v>14</v>
      </c>
      <c r="Q909" t="s">
        <v>42</v>
      </c>
      <c r="R909" t="s">
        <v>25</v>
      </c>
    </row>
    <row r="910" spans="1:18" x14ac:dyDescent="0.25">
      <c r="A910">
        <v>1909</v>
      </c>
      <c r="B910" t="s">
        <v>1753</v>
      </c>
      <c r="C910" t="s">
        <v>44</v>
      </c>
      <c r="D910" t="s">
        <v>45</v>
      </c>
      <c r="E910" t="s">
        <v>46</v>
      </c>
      <c r="F910" t="s">
        <v>76</v>
      </c>
      <c r="G910">
        <v>1.3</v>
      </c>
      <c r="H910">
        <v>36145</v>
      </c>
      <c r="I910" t="s">
        <v>1754</v>
      </c>
      <c r="J910">
        <v>85.7</v>
      </c>
      <c r="K910">
        <v>22.7</v>
      </c>
      <c r="L910">
        <v>82</v>
      </c>
      <c r="M910">
        <v>103</v>
      </c>
      <c r="N910">
        <v>76</v>
      </c>
      <c r="O910">
        <v>3</v>
      </c>
      <c r="P910">
        <v>21</v>
      </c>
      <c r="Q910" t="s">
        <v>37</v>
      </c>
      <c r="R910" t="s">
        <v>25</v>
      </c>
    </row>
    <row r="911" spans="1:18" x14ac:dyDescent="0.25">
      <c r="A911">
        <v>1910</v>
      </c>
      <c r="B911" t="s">
        <v>1755</v>
      </c>
      <c r="C911" t="s">
        <v>19</v>
      </c>
      <c r="D911" t="s">
        <v>20</v>
      </c>
      <c r="E911" t="s">
        <v>39</v>
      </c>
      <c r="F911" t="s">
        <v>103</v>
      </c>
      <c r="G911">
        <v>3.6</v>
      </c>
      <c r="H911">
        <v>49287</v>
      </c>
      <c r="I911" t="s">
        <v>1197</v>
      </c>
      <c r="J911">
        <v>97.4</v>
      </c>
      <c r="K911">
        <v>32.6</v>
      </c>
      <c r="L911">
        <v>85.5</v>
      </c>
      <c r="M911">
        <v>96</v>
      </c>
      <c r="N911">
        <v>89</v>
      </c>
      <c r="O911">
        <v>5</v>
      </c>
      <c r="P911">
        <v>4</v>
      </c>
      <c r="Q911" t="s">
        <v>37</v>
      </c>
      <c r="R911" t="s">
        <v>25</v>
      </c>
    </row>
    <row r="912" spans="1:18" x14ac:dyDescent="0.25">
      <c r="A912">
        <v>1911</v>
      </c>
      <c r="B912" t="s">
        <v>1756</v>
      </c>
      <c r="C912" t="s">
        <v>89</v>
      </c>
      <c r="D912" t="s">
        <v>121</v>
      </c>
      <c r="E912" t="s">
        <v>111</v>
      </c>
      <c r="F912" t="s">
        <v>76</v>
      </c>
      <c r="G912">
        <v>7.8</v>
      </c>
      <c r="H912">
        <v>80642</v>
      </c>
      <c r="I912" t="s">
        <v>1757</v>
      </c>
      <c r="J912">
        <v>92.2</v>
      </c>
      <c r="K912">
        <v>14.4</v>
      </c>
      <c r="L912">
        <v>87</v>
      </c>
      <c r="M912">
        <v>78</v>
      </c>
      <c r="N912">
        <v>69</v>
      </c>
      <c r="O912">
        <v>2</v>
      </c>
      <c r="P912">
        <v>12</v>
      </c>
      <c r="Q912" t="s">
        <v>42</v>
      </c>
      <c r="R912" t="s">
        <v>25</v>
      </c>
    </row>
    <row r="913" spans="1:18" x14ac:dyDescent="0.25">
      <c r="A913">
        <v>1912</v>
      </c>
      <c r="B913" t="s">
        <v>1758</v>
      </c>
      <c r="C913" t="s">
        <v>32</v>
      </c>
      <c r="D913" t="s">
        <v>33</v>
      </c>
      <c r="E913" t="s">
        <v>34</v>
      </c>
      <c r="F913" t="s">
        <v>40</v>
      </c>
      <c r="G913">
        <v>5.6</v>
      </c>
      <c r="H913">
        <v>84564</v>
      </c>
      <c r="I913" t="s">
        <v>1759</v>
      </c>
      <c r="J913">
        <v>97.2</v>
      </c>
      <c r="K913">
        <v>16.600000000000001</v>
      </c>
      <c r="L913">
        <v>88.9</v>
      </c>
      <c r="M913">
        <v>89</v>
      </c>
      <c r="N913">
        <v>77</v>
      </c>
      <c r="O913">
        <v>0</v>
      </c>
      <c r="P913">
        <v>14</v>
      </c>
      <c r="Q913" t="s">
        <v>24</v>
      </c>
      <c r="R913" t="s">
        <v>25</v>
      </c>
    </row>
    <row r="914" spans="1:18" x14ac:dyDescent="0.25">
      <c r="A914">
        <v>1913</v>
      </c>
      <c r="B914" t="s">
        <v>1760</v>
      </c>
      <c r="C914" t="s">
        <v>44</v>
      </c>
      <c r="D914" t="s">
        <v>54</v>
      </c>
      <c r="E914" t="s">
        <v>97</v>
      </c>
      <c r="F914" t="s">
        <v>40</v>
      </c>
      <c r="G914">
        <v>5.6</v>
      </c>
      <c r="H914">
        <v>55880</v>
      </c>
      <c r="I914" t="s">
        <v>1761</v>
      </c>
      <c r="J914">
        <v>91.8</v>
      </c>
      <c r="K914">
        <v>28.2</v>
      </c>
      <c r="L914">
        <v>67.2</v>
      </c>
      <c r="M914">
        <v>93</v>
      </c>
      <c r="N914">
        <v>64</v>
      </c>
      <c r="O914">
        <v>5</v>
      </c>
      <c r="P914">
        <v>11</v>
      </c>
      <c r="Q914" t="s">
        <v>37</v>
      </c>
      <c r="R914" t="s">
        <v>203</v>
      </c>
    </row>
    <row r="915" spans="1:18" x14ac:dyDescent="0.25">
      <c r="A915">
        <v>1914</v>
      </c>
      <c r="B915" t="s">
        <v>1762</v>
      </c>
      <c r="C915" t="s">
        <v>27</v>
      </c>
      <c r="D915" t="s">
        <v>64</v>
      </c>
      <c r="E915" t="s">
        <v>85</v>
      </c>
      <c r="F915" t="s">
        <v>103</v>
      </c>
      <c r="G915">
        <v>4.8</v>
      </c>
      <c r="H915">
        <v>56379</v>
      </c>
      <c r="I915" t="s">
        <v>1763</v>
      </c>
      <c r="J915">
        <v>99.1</v>
      </c>
      <c r="K915">
        <v>8.6</v>
      </c>
      <c r="L915">
        <v>99.5</v>
      </c>
      <c r="M915">
        <v>60</v>
      </c>
      <c r="N915">
        <v>53</v>
      </c>
      <c r="O915">
        <v>0</v>
      </c>
      <c r="P915">
        <v>12</v>
      </c>
      <c r="Q915" t="s">
        <v>42</v>
      </c>
      <c r="R915" t="s">
        <v>62</v>
      </c>
    </row>
    <row r="916" spans="1:18" x14ac:dyDescent="0.25">
      <c r="A916">
        <v>1915</v>
      </c>
      <c r="B916" t="s">
        <v>1764</v>
      </c>
      <c r="C916" t="s">
        <v>89</v>
      </c>
      <c r="D916" t="s">
        <v>102</v>
      </c>
      <c r="E916" t="s">
        <v>152</v>
      </c>
      <c r="F916" t="s">
        <v>86</v>
      </c>
      <c r="G916">
        <v>6.2</v>
      </c>
      <c r="H916">
        <v>75839</v>
      </c>
      <c r="I916" t="s">
        <v>1765</v>
      </c>
      <c r="J916">
        <v>96.2</v>
      </c>
      <c r="K916">
        <v>16.899999999999999</v>
      </c>
      <c r="L916">
        <v>86.2</v>
      </c>
      <c r="M916">
        <v>90</v>
      </c>
      <c r="N916">
        <v>87</v>
      </c>
      <c r="O916">
        <v>4</v>
      </c>
      <c r="P916">
        <v>17</v>
      </c>
      <c r="Q916" t="s">
        <v>42</v>
      </c>
      <c r="R916" t="s">
        <v>25</v>
      </c>
    </row>
    <row r="917" spans="1:18" x14ac:dyDescent="0.25">
      <c r="A917">
        <v>1916</v>
      </c>
      <c r="B917" t="s">
        <v>1766</v>
      </c>
      <c r="C917" t="s">
        <v>89</v>
      </c>
      <c r="D917" t="s">
        <v>90</v>
      </c>
      <c r="E917" t="s">
        <v>91</v>
      </c>
      <c r="F917" t="s">
        <v>40</v>
      </c>
      <c r="G917">
        <v>5.0999999999999996</v>
      </c>
      <c r="H917">
        <v>76901</v>
      </c>
      <c r="I917" t="s">
        <v>1767</v>
      </c>
      <c r="J917">
        <v>96.2</v>
      </c>
      <c r="K917">
        <v>13.9</v>
      </c>
      <c r="L917">
        <v>86.2</v>
      </c>
      <c r="M917">
        <v>55</v>
      </c>
      <c r="N917">
        <v>46</v>
      </c>
      <c r="O917">
        <v>3</v>
      </c>
      <c r="P917">
        <v>9</v>
      </c>
      <c r="Q917" t="s">
        <v>24</v>
      </c>
      <c r="R917" t="s">
        <v>25</v>
      </c>
    </row>
    <row r="918" spans="1:18" x14ac:dyDescent="0.25">
      <c r="A918">
        <v>1917</v>
      </c>
      <c r="B918" t="s">
        <v>1768</v>
      </c>
      <c r="C918" t="s">
        <v>44</v>
      </c>
      <c r="D918" t="s">
        <v>54</v>
      </c>
      <c r="E918" t="s">
        <v>46</v>
      </c>
      <c r="F918" t="s">
        <v>103</v>
      </c>
      <c r="G918">
        <v>4.0999999999999996</v>
      </c>
      <c r="H918">
        <v>60855</v>
      </c>
      <c r="I918" t="s">
        <v>1769</v>
      </c>
      <c r="J918">
        <v>88.9</v>
      </c>
      <c r="K918">
        <v>30.1</v>
      </c>
      <c r="L918">
        <v>79.400000000000006</v>
      </c>
      <c r="M918">
        <v>87</v>
      </c>
      <c r="N918">
        <v>71</v>
      </c>
      <c r="O918">
        <v>6</v>
      </c>
      <c r="P918">
        <v>24</v>
      </c>
      <c r="Q918" t="s">
        <v>37</v>
      </c>
      <c r="R918" t="s">
        <v>57</v>
      </c>
    </row>
    <row r="919" spans="1:18" x14ac:dyDescent="0.25">
      <c r="A919">
        <v>1918</v>
      </c>
      <c r="B919" t="s">
        <v>1770</v>
      </c>
      <c r="C919" t="s">
        <v>44</v>
      </c>
      <c r="D919" t="s">
        <v>70</v>
      </c>
      <c r="E919" t="s">
        <v>97</v>
      </c>
      <c r="F919" t="s">
        <v>103</v>
      </c>
      <c r="G919">
        <v>6.6</v>
      </c>
      <c r="H919">
        <v>76600</v>
      </c>
      <c r="I919" t="s">
        <v>1771</v>
      </c>
      <c r="J919">
        <v>97</v>
      </c>
      <c r="K919">
        <v>8.9</v>
      </c>
      <c r="L919">
        <v>84.8</v>
      </c>
      <c r="M919">
        <v>106</v>
      </c>
      <c r="N919">
        <v>83</v>
      </c>
      <c r="O919">
        <v>3</v>
      </c>
      <c r="P919">
        <v>20</v>
      </c>
      <c r="Q919" t="s">
        <v>24</v>
      </c>
      <c r="R919" t="s">
        <v>25</v>
      </c>
    </row>
    <row r="920" spans="1:18" x14ac:dyDescent="0.25">
      <c r="A920">
        <v>1919</v>
      </c>
      <c r="B920" t="s">
        <v>1772</v>
      </c>
      <c r="C920" t="s">
        <v>19</v>
      </c>
      <c r="D920" t="s">
        <v>81</v>
      </c>
      <c r="E920" t="s">
        <v>82</v>
      </c>
      <c r="F920" t="s">
        <v>76</v>
      </c>
      <c r="G920">
        <v>3.9</v>
      </c>
      <c r="H920">
        <v>61452</v>
      </c>
      <c r="I920" t="s">
        <v>1773</v>
      </c>
      <c r="J920">
        <v>87.2</v>
      </c>
      <c r="K920">
        <v>0.6</v>
      </c>
      <c r="L920">
        <v>84.8</v>
      </c>
      <c r="M920">
        <v>72</v>
      </c>
      <c r="N920">
        <v>59</v>
      </c>
      <c r="O920">
        <v>1</v>
      </c>
      <c r="P920">
        <v>14</v>
      </c>
      <c r="Q920" t="s">
        <v>24</v>
      </c>
      <c r="R920" t="s">
        <v>25</v>
      </c>
    </row>
    <row r="921" spans="1:18" x14ac:dyDescent="0.25">
      <c r="A921">
        <v>1920</v>
      </c>
      <c r="B921" t="s">
        <v>1774</v>
      </c>
      <c r="C921" t="s">
        <v>44</v>
      </c>
      <c r="D921" t="s">
        <v>45</v>
      </c>
      <c r="E921" t="s">
        <v>97</v>
      </c>
      <c r="F921" t="s">
        <v>103</v>
      </c>
      <c r="G921">
        <v>3.7</v>
      </c>
      <c r="H921">
        <v>65117</v>
      </c>
      <c r="I921" t="s">
        <v>1775</v>
      </c>
      <c r="J921">
        <v>93.4</v>
      </c>
      <c r="K921">
        <v>32.1</v>
      </c>
      <c r="L921">
        <v>67.099999999999994</v>
      </c>
      <c r="M921">
        <v>107</v>
      </c>
      <c r="N921">
        <v>69</v>
      </c>
      <c r="O921">
        <v>2</v>
      </c>
      <c r="P921">
        <v>19</v>
      </c>
      <c r="Q921" t="s">
        <v>37</v>
      </c>
      <c r="R921" t="s">
        <v>203</v>
      </c>
    </row>
    <row r="922" spans="1:18" x14ac:dyDescent="0.25">
      <c r="A922">
        <v>1921</v>
      </c>
      <c r="B922" t="s">
        <v>1776</v>
      </c>
      <c r="C922" t="s">
        <v>27</v>
      </c>
      <c r="D922" t="s">
        <v>75</v>
      </c>
      <c r="E922" t="s">
        <v>118</v>
      </c>
      <c r="F922" t="s">
        <v>40</v>
      </c>
      <c r="G922">
        <v>0.3</v>
      </c>
      <c r="H922">
        <v>35333</v>
      </c>
      <c r="I922" t="s">
        <v>1777</v>
      </c>
      <c r="J922">
        <v>87.5</v>
      </c>
      <c r="K922">
        <v>20</v>
      </c>
      <c r="L922">
        <v>86.8</v>
      </c>
      <c r="M922">
        <v>58</v>
      </c>
      <c r="N922">
        <v>47</v>
      </c>
      <c r="O922">
        <v>1</v>
      </c>
      <c r="P922">
        <v>10</v>
      </c>
      <c r="Q922" t="s">
        <v>42</v>
      </c>
      <c r="R922" t="s">
        <v>25</v>
      </c>
    </row>
    <row r="923" spans="1:18" x14ac:dyDescent="0.25">
      <c r="A923">
        <v>1922</v>
      </c>
      <c r="B923" t="s">
        <v>1778</v>
      </c>
      <c r="C923" t="s">
        <v>32</v>
      </c>
      <c r="D923" t="s">
        <v>106</v>
      </c>
      <c r="E923" t="s">
        <v>94</v>
      </c>
      <c r="F923" t="s">
        <v>40</v>
      </c>
      <c r="G923">
        <v>5.6</v>
      </c>
      <c r="H923">
        <v>68663</v>
      </c>
      <c r="I923" t="s">
        <v>1544</v>
      </c>
      <c r="J923">
        <v>96.6</v>
      </c>
      <c r="K923">
        <v>30.8</v>
      </c>
      <c r="L923">
        <v>85</v>
      </c>
      <c r="M923">
        <v>106</v>
      </c>
      <c r="N923">
        <v>91</v>
      </c>
      <c r="O923">
        <v>4</v>
      </c>
      <c r="P923">
        <v>19</v>
      </c>
      <c r="Q923" t="s">
        <v>37</v>
      </c>
      <c r="R923" t="s">
        <v>25</v>
      </c>
    </row>
    <row r="924" spans="1:18" x14ac:dyDescent="0.25">
      <c r="A924">
        <v>1923</v>
      </c>
      <c r="B924" t="s">
        <v>1779</v>
      </c>
      <c r="C924" t="s">
        <v>27</v>
      </c>
      <c r="D924" t="s">
        <v>75</v>
      </c>
      <c r="E924" t="s">
        <v>118</v>
      </c>
      <c r="F924" t="s">
        <v>22</v>
      </c>
      <c r="G924">
        <v>2.6</v>
      </c>
      <c r="H924">
        <v>57556</v>
      </c>
      <c r="I924" t="s">
        <v>1534</v>
      </c>
      <c r="J924">
        <v>94.3</v>
      </c>
      <c r="K924">
        <v>22.7</v>
      </c>
      <c r="L924">
        <v>93.2</v>
      </c>
      <c r="M924">
        <v>69</v>
      </c>
      <c r="N924">
        <v>61</v>
      </c>
      <c r="O924">
        <v>2</v>
      </c>
      <c r="P924">
        <v>8</v>
      </c>
      <c r="Q924" t="s">
        <v>42</v>
      </c>
      <c r="R924" t="s">
        <v>62</v>
      </c>
    </row>
    <row r="925" spans="1:18" x14ac:dyDescent="0.25">
      <c r="A925">
        <v>1924</v>
      </c>
      <c r="B925" t="s">
        <v>1780</v>
      </c>
      <c r="C925" t="s">
        <v>27</v>
      </c>
      <c r="D925" t="s">
        <v>75</v>
      </c>
      <c r="E925" t="s">
        <v>29</v>
      </c>
      <c r="F925" t="s">
        <v>86</v>
      </c>
      <c r="G925">
        <v>2.2000000000000002</v>
      </c>
      <c r="H925">
        <v>46144</v>
      </c>
      <c r="I925" t="s">
        <v>1781</v>
      </c>
      <c r="J925">
        <v>95.5</v>
      </c>
      <c r="K925">
        <v>13.9</v>
      </c>
      <c r="L925">
        <v>94.2</v>
      </c>
      <c r="M925">
        <v>77</v>
      </c>
      <c r="N925">
        <v>69</v>
      </c>
      <c r="O925">
        <v>1</v>
      </c>
      <c r="P925">
        <v>10</v>
      </c>
      <c r="Q925" t="s">
        <v>42</v>
      </c>
      <c r="R925" t="s">
        <v>62</v>
      </c>
    </row>
    <row r="926" spans="1:18" x14ac:dyDescent="0.25">
      <c r="A926">
        <v>1925</v>
      </c>
      <c r="B926" t="s">
        <v>1782</v>
      </c>
      <c r="C926" t="s">
        <v>89</v>
      </c>
      <c r="D926" t="s">
        <v>121</v>
      </c>
      <c r="E926" t="s">
        <v>111</v>
      </c>
      <c r="F926" t="s">
        <v>22</v>
      </c>
      <c r="G926">
        <v>2.5</v>
      </c>
      <c r="H926">
        <v>53719</v>
      </c>
      <c r="I926" t="s">
        <v>1783</v>
      </c>
      <c r="J926">
        <v>94.3</v>
      </c>
      <c r="K926">
        <v>8</v>
      </c>
      <c r="L926">
        <v>94.6</v>
      </c>
      <c r="M926">
        <v>87</v>
      </c>
      <c r="N926">
        <v>81</v>
      </c>
      <c r="O926">
        <v>0</v>
      </c>
      <c r="P926">
        <v>14</v>
      </c>
      <c r="Q926" t="s">
        <v>42</v>
      </c>
      <c r="R926" t="s">
        <v>62</v>
      </c>
    </row>
    <row r="927" spans="1:18" x14ac:dyDescent="0.25">
      <c r="A927">
        <v>1926</v>
      </c>
      <c r="B927" t="s">
        <v>1784</v>
      </c>
      <c r="C927" t="s">
        <v>89</v>
      </c>
      <c r="D927" t="s">
        <v>90</v>
      </c>
      <c r="E927" t="s">
        <v>152</v>
      </c>
      <c r="F927" t="s">
        <v>35</v>
      </c>
      <c r="G927">
        <v>2</v>
      </c>
      <c r="H927">
        <v>59254</v>
      </c>
      <c r="I927" t="s">
        <v>1785</v>
      </c>
      <c r="J927">
        <v>86</v>
      </c>
      <c r="K927">
        <v>25.4</v>
      </c>
      <c r="L927">
        <v>79.8</v>
      </c>
      <c r="M927">
        <v>98</v>
      </c>
      <c r="N927">
        <v>81</v>
      </c>
      <c r="O927">
        <v>3</v>
      </c>
      <c r="P927">
        <v>10</v>
      </c>
      <c r="Q927" t="s">
        <v>24</v>
      </c>
      <c r="R927" t="s">
        <v>57</v>
      </c>
    </row>
    <row r="928" spans="1:18" x14ac:dyDescent="0.25">
      <c r="A928">
        <v>1927</v>
      </c>
      <c r="B928" t="s">
        <v>1786</v>
      </c>
      <c r="C928" t="s">
        <v>44</v>
      </c>
      <c r="D928" t="s">
        <v>45</v>
      </c>
      <c r="E928" t="s">
        <v>97</v>
      </c>
      <c r="F928" t="s">
        <v>76</v>
      </c>
      <c r="G928">
        <v>6</v>
      </c>
      <c r="H928">
        <v>79345</v>
      </c>
      <c r="I928" t="s">
        <v>1787</v>
      </c>
      <c r="J928">
        <v>91.2</v>
      </c>
      <c r="K928">
        <v>30.3</v>
      </c>
      <c r="L928">
        <v>78.400000000000006</v>
      </c>
      <c r="M928">
        <v>101</v>
      </c>
      <c r="N928">
        <v>74</v>
      </c>
      <c r="O928">
        <v>4</v>
      </c>
      <c r="P928">
        <v>16</v>
      </c>
      <c r="Q928" t="s">
        <v>37</v>
      </c>
      <c r="R928" t="s">
        <v>57</v>
      </c>
    </row>
    <row r="929" spans="1:18" x14ac:dyDescent="0.25">
      <c r="A929">
        <v>1928</v>
      </c>
      <c r="B929" t="s">
        <v>1788</v>
      </c>
      <c r="C929" t="s">
        <v>44</v>
      </c>
      <c r="D929" t="s">
        <v>70</v>
      </c>
      <c r="E929" t="s">
        <v>55</v>
      </c>
      <c r="F929" t="s">
        <v>103</v>
      </c>
      <c r="G929">
        <v>6.5</v>
      </c>
      <c r="H929">
        <v>78945</v>
      </c>
      <c r="I929" t="s">
        <v>1789</v>
      </c>
      <c r="J929">
        <v>91.7</v>
      </c>
      <c r="K929">
        <v>16.5</v>
      </c>
      <c r="L929">
        <v>72.2</v>
      </c>
      <c r="M929">
        <v>83</v>
      </c>
      <c r="N929">
        <v>65</v>
      </c>
      <c r="O929">
        <v>4</v>
      </c>
      <c r="P929">
        <v>3</v>
      </c>
      <c r="Q929" t="s">
        <v>24</v>
      </c>
      <c r="R929" t="s">
        <v>57</v>
      </c>
    </row>
    <row r="930" spans="1:18" x14ac:dyDescent="0.25">
      <c r="A930">
        <v>1929</v>
      </c>
      <c r="B930" t="s">
        <v>1790</v>
      </c>
      <c r="C930" t="s">
        <v>27</v>
      </c>
      <c r="D930" t="s">
        <v>28</v>
      </c>
      <c r="E930" t="s">
        <v>29</v>
      </c>
      <c r="F930" t="s">
        <v>40</v>
      </c>
      <c r="G930">
        <v>3.6</v>
      </c>
      <c r="H930">
        <v>66336</v>
      </c>
      <c r="I930" t="s">
        <v>1464</v>
      </c>
      <c r="J930">
        <v>91.6</v>
      </c>
      <c r="K930">
        <v>18.3</v>
      </c>
      <c r="L930">
        <v>93.9</v>
      </c>
      <c r="M930">
        <v>93</v>
      </c>
      <c r="N930">
        <v>84</v>
      </c>
      <c r="O930">
        <v>0</v>
      </c>
      <c r="P930">
        <v>18</v>
      </c>
      <c r="Q930" t="s">
        <v>42</v>
      </c>
      <c r="R930" t="s">
        <v>62</v>
      </c>
    </row>
    <row r="931" spans="1:18" x14ac:dyDescent="0.25">
      <c r="A931">
        <v>1930</v>
      </c>
      <c r="B931" t="s">
        <v>1791</v>
      </c>
      <c r="C931" t="s">
        <v>89</v>
      </c>
      <c r="D931" t="s">
        <v>102</v>
      </c>
      <c r="E931" t="s">
        <v>152</v>
      </c>
      <c r="F931" t="s">
        <v>40</v>
      </c>
      <c r="G931">
        <v>6.4</v>
      </c>
      <c r="H931">
        <v>84417</v>
      </c>
      <c r="I931" t="s">
        <v>482</v>
      </c>
      <c r="J931">
        <v>96.6</v>
      </c>
      <c r="K931">
        <v>29</v>
      </c>
      <c r="L931">
        <v>99.3</v>
      </c>
      <c r="M931">
        <v>108</v>
      </c>
      <c r="N931">
        <v>100</v>
      </c>
      <c r="O931">
        <v>2</v>
      </c>
      <c r="P931">
        <v>12</v>
      </c>
      <c r="Q931" t="s">
        <v>42</v>
      </c>
      <c r="R931" t="s">
        <v>62</v>
      </c>
    </row>
    <row r="932" spans="1:18" x14ac:dyDescent="0.25">
      <c r="A932">
        <v>1931</v>
      </c>
      <c r="B932" t="s">
        <v>1792</v>
      </c>
      <c r="C932" t="s">
        <v>89</v>
      </c>
      <c r="D932" t="s">
        <v>121</v>
      </c>
      <c r="E932" t="s">
        <v>152</v>
      </c>
      <c r="F932" t="s">
        <v>86</v>
      </c>
      <c r="G932">
        <v>3</v>
      </c>
      <c r="H932">
        <v>46194</v>
      </c>
      <c r="I932" t="s">
        <v>1793</v>
      </c>
      <c r="J932">
        <v>94.2</v>
      </c>
      <c r="K932">
        <v>0</v>
      </c>
      <c r="L932">
        <v>98.3</v>
      </c>
      <c r="M932">
        <v>72</v>
      </c>
      <c r="N932">
        <v>72</v>
      </c>
      <c r="O932">
        <v>0</v>
      </c>
      <c r="P932">
        <v>18</v>
      </c>
      <c r="Q932" t="s">
        <v>24</v>
      </c>
      <c r="R932" t="s">
        <v>62</v>
      </c>
    </row>
    <row r="933" spans="1:18" x14ac:dyDescent="0.25">
      <c r="A933">
        <v>1932</v>
      </c>
      <c r="B933" t="s">
        <v>1794</v>
      </c>
      <c r="C933" t="s">
        <v>32</v>
      </c>
      <c r="D933" t="s">
        <v>106</v>
      </c>
      <c r="E933" t="s">
        <v>128</v>
      </c>
      <c r="F933" t="s">
        <v>103</v>
      </c>
      <c r="G933">
        <v>3.3</v>
      </c>
      <c r="H933">
        <v>57641</v>
      </c>
      <c r="I933" t="s">
        <v>932</v>
      </c>
      <c r="J933">
        <v>91.5</v>
      </c>
      <c r="K933">
        <v>27.4</v>
      </c>
      <c r="L933">
        <v>81.400000000000006</v>
      </c>
      <c r="M933">
        <v>121</v>
      </c>
      <c r="N933">
        <v>97</v>
      </c>
      <c r="O933">
        <v>5</v>
      </c>
      <c r="P933">
        <v>14</v>
      </c>
      <c r="Q933" t="s">
        <v>24</v>
      </c>
      <c r="R933" t="s">
        <v>25</v>
      </c>
    </row>
    <row r="934" spans="1:18" x14ac:dyDescent="0.25">
      <c r="A934">
        <v>1933</v>
      </c>
      <c r="B934" t="s">
        <v>1795</v>
      </c>
      <c r="C934" t="s">
        <v>27</v>
      </c>
      <c r="D934" t="s">
        <v>75</v>
      </c>
      <c r="E934" t="s">
        <v>29</v>
      </c>
      <c r="F934" t="s">
        <v>76</v>
      </c>
      <c r="G934">
        <v>0.5</v>
      </c>
      <c r="H934">
        <v>32634</v>
      </c>
      <c r="I934" t="s">
        <v>1796</v>
      </c>
      <c r="J934">
        <v>100</v>
      </c>
      <c r="K934">
        <v>5.4</v>
      </c>
      <c r="L934">
        <v>89.9</v>
      </c>
      <c r="M934">
        <v>53</v>
      </c>
      <c r="N934">
        <v>51</v>
      </c>
      <c r="O934">
        <v>2</v>
      </c>
      <c r="P934">
        <v>13</v>
      </c>
      <c r="Q934" t="s">
        <v>42</v>
      </c>
      <c r="R934" t="s">
        <v>25</v>
      </c>
    </row>
    <row r="935" spans="1:18" x14ac:dyDescent="0.25">
      <c r="A935">
        <v>1934</v>
      </c>
      <c r="B935" t="s">
        <v>1797</v>
      </c>
      <c r="C935" t="s">
        <v>49</v>
      </c>
      <c r="D935" t="s">
        <v>59</v>
      </c>
      <c r="E935" t="s">
        <v>51</v>
      </c>
      <c r="F935" t="s">
        <v>103</v>
      </c>
      <c r="G935">
        <v>4.4000000000000004</v>
      </c>
      <c r="H935">
        <v>57303</v>
      </c>
      <c r="I935" t="s">
        <v>1798</v>
      </c>
      <c r="J935">
        <v>96.5</v>
      </c>
      <c r="K935">
        <v>4.8</v>
      </c>
      <c r="L935">
        <v>92.9</v>
      </c>
      <c r="M935">
        <v>36</v>
      </c>
      <c r="N935">
        <v>34</v>
      </c>
      <c r="O935">
        <v>1</v>
      </c>
      <c r="P935">
        <v>19</v>
      </c>
      <c r="Q935" t="s">
        <v>42</v>
      </c>
      <c r="R935" t="s">
        <v>62</v>
      </c>
    </row>
    <row r="936" spans="1:18" x14ac:dyDescent="0.25">
      <c r="A936">
        <v>1935</v>
      </c>
      <c r="B936" t="s">
        <v>1799</v>
      </c>
      <c r="C936" t="s">
        <v>19</v>
      </c>
      <c r="D936" t="s">
        <v>81</v>
      </c>
      <c r="E936" t="s">
        <v>82</v>
      </c>
      <c r="F936" t="s">
        <v>40</v>
      </c>
      <c r="G936">
        <v>1</v>
      </c>
      <c r="H936">
        <v>31093</v>
      </c>
      <c r="I936" t="s">
        <v>1800</v>
      </c>
      <c r="J936">
        <v>86.6</v>
      </c>
      <c r="K936">
        <v>9.8000000000000007</v>
      </c>
      <c r="L936">
        <v>78.2</v>
      </c>
      <c r="M936">
        <v>74</v>
      </c>
      <c r="N936">
        <v>58</v>
      </c>
      <c r="O936">
        <v>4</v>
      </c>
      <c r="P936">
        <v>11</v>
      </c>
      <c r="Q936" t="s">
        <v>24</v>
      </c>
      <c r="R936" t="s">
        <v>57</v>
      </c>
    </row>
    <row r="937" spans="1:18" x14ac:dyDescent="0.25">
      <c r="A937">
        <v>1936</v>
      </c>
      <c r="B937" t="s">
        <v>1801</v>
      </c>
      <c r="C937" t="s">
        <v>19</v>
      </c>
      <c r="D937" t="s">
        <v>81</v>
      </c>
      <c r="E937" t="s">
        <v>82</v>
      </c>
      <c r="F937" t="s">
        <v>40</v>
      </c>
      <c r="G937">
        <v>3.4</v>
      </c>
      <c r="H937">
        <v>60560</v>
      </c>
      <c r="I937" t="s">
        <v>1802</v>
      </c>
      <c r="J937">
        <v>92.2</v>
      </c>
      <c r="K937">
        <v>0.6</v>
      </c>
      <c r="L937">
        <v>90.4</v>
      </c>
      <c r="M937">
        <v>90</v>
      </c>
      <c r="N937">
        <v>90</v>
      </c>
      <c r="O937">
        <v>0</v>
      </c>
      <c r="P937">
        <v>15</v>
      </c>
      <c r="Q937" t="s">
        <v>42</v>
      </c>
      <c r="R937" t="s">
        <v>62</v>
      </c>
    </row>
    <row r="938" spans="1:18" x14ac:dyDescent="0.25">
      <c r="A938">
        <v>1937</v>
      </c>
      <c r="B938" t="s">
        <v>1803</v>
      </c>
      <c r="C938" t="s">
        <v>44</v>
      </c>
      <c r="D938" t="s">
        <v>54</v>
      </c>
      <c r="E938" t="s">
        <v>97</v>
      </c>
      <c r="F938" t="s">
        <v>86</v>
      </c>
      <c r="G938">
        <v>8</v>
      </c>
      <c r="H938">
        <v>83222</v>
      </c>
      <c r="I938" t="s">
        <v>1804</v>
      </c>
      <c r="J938">
        <v>96.4</v>
      </c>
      <c r="K938">
        <v>29.9</v>
      </c>
      <c r="L938">
        <v>81.400000000000006</v>
      </c>
      <c r="M938">
        <v>91</v>
      </c>
      <c r="N938">
        <v>77</v>
      </c>
      <c r="O938">
        <v>0</v>
      </c>
      <c r="P938">
        <v>27</v>
      </c>
      <c r="Q938" t="s">
        <v>37</v>
      </c>
      <c r="R938" t="s">
        <v>25</v>
      </c>
    </row>
    <row r="939" spans="1:18" x14ac:dyDescent="0.25">
      <c r="A939">
        <v>1938</v>
      </c>
      <c r="B939" t="s">
        <v>1805</v>
      </c>
      <c r="C939" t="s">
        <v>19</v>
      </c>
      <c r="D939" t="s">
        <v>137</v>
      </c>
      <c r="E939" t="s">
        <v>39</v>
      </c>
      <c r="F939" t="s">
        <v>22</v>
      </c>
      <c r="G939">
        <v>8.9</v>
      </c>
      <c r="H939">
        <v>86861</v>
      </c>
      <c r="I939" t="s">
        <v>1806</v>
      </c>
      <c r="J939">
        <v>94.5</v>
      </c>
      <c r="K939">
        <v>0</v>
      </c>
      <c r="L939">
        <v>74.8</v>
      </c>
      <c r="M939">
        <v>58</v>
      </c>
      <c r="N939">
        <v>39</v>
      </c>
      <c r="O939">
        <v>4</v>
      </c>
      <c r="P939">
        <v>14</v>
      </c>
      <c r="Q939" t="s">
        <v>24</v>
      </c>
      <c r="R939" t="s">
        <v>57</v>
      </c>
    </row>
    <row r="940" spans="1:18" x14ac:dyDescent="0.25">
      <c r="A940">
        <v>1939</v>
      </c>
      <c r="B940" t="s">
        <v>1807</v>
      </c>
      <c r="C940" t="s">
        <v>32</v>
      </c>
      <c r="D940" t="s">
        <v>67</v>
      </c>
      <c r="E940" t="s">
        <v>94</v>
      </c>
      <c r="F940" t="s">
        <v>86</v>
      </c>
      <c r="G940">
        <v>3.6</v>
      </c>
      <c r="H940">
        <v>52507</v>
      </c>
      <c r="I940" t="s">
        <v>1808</v>
      </c>
      <c r="J940">
        <v>92.2</v>
      </c>
      <c r="K940">
        <v>14.4</v>
      </c>
      <c r="L940">
        <v>86.7</v>
      </c>
      <c r="M940">
        <v>102</v>
      </c>
      <c r="N940">
        <v>79</v>
      </c>
      <c r="O940">
        <v>3</v>
      </c>
      <c r="P940">
        <v>13</v>
      </c>
      <c r="Q940" t="s">
        <v>24</v>
      </c>
      <c r="R940" t="s">
        <v>25</v>
      </c>
    </row>
    <row r="941" spans="1:18" x14ac:dyDescent="0.25">
      <c r="A941">
        <v>1940</v>
      </c>
      <c r="B941" t="s">
        <v>1809</v>
      </c>
      <c r="C941" t="s">
        <v>27</v>
      </c>
      <c r="D941" t="s">
        <v>28</v>
      </c>
      <c r="E941" t="s">
        <v>118</v>
      </c>
      <c r="F941" t="s">
        <v>22</v>
      </c>
      <c r="G941">
        <v>5.3</v>
      </c>
      <c r="H941">
        <v>77667</v>
      </c>
      <c r="I941" t="s">
        <v>355</v>
      </c>
      <c r="J941">
        <v>94.2</v>
      </c>
      <c r="K941">
        <v>10.199999999999999</v>
      </c>
      <c r="L941">
        <v>83.4</v>
      </c>
      <c r="M941">
        <v>79</v>
      </c>
      <c r="N941">
        <v>66</v>
      </c>
      <c r="O941">
        <v>0</v>
      </c>
      <c r="P941">
        <v>8</v>
      </c>
      <c r="Q941" t="s">
        <v>42</v>
      </c>
      <c r="R941" t="s">
        <v>25</v>
      </c>
    </row>
    <row r="942" spans="1:18" x14ac:dyDescent="0.25">
      <c r="A942">
        <v>1941</v>
      </c>
      <c r="B942" t="s">
        <v>1810</v>
      </c>
      <c r="C942" t="s">
        <v>44</v>
      </c>
      <c r="D942" t="s">
        <v>54</v>
      </c>
      <c r="E942" t="s">
        <v>46</v>
      </c>
      <c r="F942" t="s">
        <v>40</v>
      </c>
      <c r="G942">
        <v>5.5</v>
      </c>
      <c r="H942">
        <v>77177</v>
      </c>
      <c r="I942" t="s">
        <v>1223</v>
      </c>
      <c r="J942">
        <v>96.7</v>
      </c>
      <c r="K942">
        <v>28.4</v>
      </c>
      <c r="L942">
        <v>80.8</v>
      </c>
      <c r="M942">
        <v>102</v>
      </c>
      <c r="N942">
        <v>93</v>
      </c>
      <c r="O942">
        <v>0</v>
      </c>
      <c r="P942">
        <v>22</v>
      </c>
      <c r="Q942" t="s">
        <v>37</v>
      </c>
      <c r="R942" t="s">
        <v>25</v>
      </c>
    </row>
    <row r="943" spans="1:18" x14ac:dyDescent="0.25">
      <c r="A943">
        <v>1942</v>
      </c>
      <c r="B943" t="s">
        <v>1811</v>
      </c>
      <c r="C943" t="s">
        <v>32</v>
      </c>
      <c r="D943" t="s">
        <v>67</v>
      </c>
      <c r="E943" t="s">
        <v>128</v>
      </c>
      <c r="F943" t="s">
        <v>35</v>
      </c>
      <c r="G943">
        <v>1.1000000000000001</v>
      </c>
      <c r="H943">
        <v>51498</v>
      </c>
      <c r="I943" t="s">
        <v>1812</v>
      </c>
      <c r="J943">
        <v>94.7</v>
      </c>
      <c r="K943">
        <v>28.1</v>
      </c>
      <c r="L943">
        <v>95.5</v>
      </c>
      <c r="M943">
        <v>115</v>
      </c>
      <c r="N943">
        <v>114</v>
      </c>
      <c r="O943">
        <v>1</v>
      </c>
      <c r="P943">
        <v>23</v>
      </c>
      <c r="Q943" t="s">
        <v>37</v>
      </c>
      <c r="R943" t="s">
        <v>62</v>
      </c>
    </row>
    <row r="944" spans="1:18" x14ac:dyDescent="0.25">
      <c r="A944">
        <v>1943</v>
      </c>
      <c r="B944" t="s">
        <v>1813</v>
      </c>
      <c r="C944" t="s">
        <v>27</v>
      </c>
      <c r="D944" t="s">
        <v>75</v>
      </c>
      <c r="E944" t="s">
        <v>118</v>
      </c>
      <c r="F944" t="s">
        <v>40</v>
      </c>
      <c r="G944">
        <v>7.2</v>
      </c>
      <c r="H944">
        <v>75793</v>
      </c>
      <c r="I944" t="s">
        <v>1814</v>
      </c>
      <c r="J944">
        <v>94.9</v>
      </c>
      <c r="K944">
        <v>9.9</v>
      </c>
      <c r="L944">
        <v>88.4</v>
      </c>
      <c r="M944">
        <v>60</v>
      </c>
      <c r="N944">
        <v>50</v>
      </c>
      <c r="O944">
        <v>2</v>
      </c>
      <c r="P944">
        <v>20</v>
      </c>
      <c r="Q944" t="s">
        <v>42</v>
      </c>
      <c r="R944" t="s">
        <v>25</v>
      </c>
    </row>
    <row r="945" spans="1:18" x14ac:dyDescent="0.25">
      <c r="A945">
        <v>1944</v>
      </c>
      <c r="B945" t="s">
        <v>1815</v>
      </c>
      <c r="C945" t="s">
        <v>89</v>
      </c>
      <c r="D945" t="s">
        <v>102</v>
      </c>
      <c r="E945" t="s">
        <v>111</v>
      </c>
      <c r="F945" t="s">
        <v>76</v>
      </c>
      <c r="G945">
        <v>9.9</v>
      </c>
      <c r="H945">
        <v>103590</v>
      </c>
      <c r="I945" t="s">
        <v>1816</v>
      </c>
      <c r="J945">
        <v>96.4</v>
      </c>
      <c r="K945">
        <v>12.7</v>
      </c>
      <c r="L945">
        <v>89.8</v>
      </c>
      <c r="M945">
        <v>93</v>
      </c>
      <c r="N945">
        <v>93</v>
      </c>
      <c r="O945">
        <v>0</v>
      </c>
      <c r="P945">
        <v>15</v>
      </c>
      <c r="Q945" t="s">
        <v>42</v>
      </c>
      <c r="R945" t="s">
        <v>25</v>
      </c>
    </row>
    <row r="946" spans="1:18" x14ac:dyDescent="0.25">
      <c r="A946">
        <v>1945</v>
      </c>
      <c r="B946" t="s">
        <v>1817</v>
      </c>
      <c r="C946" t="s">
        <v>27</v>
      </c>
      <c r="D946" t="s">
        <v>28</v>
      </c>
      <c r="E946" t="s">
        <v>85</v>
      </c>
      <c r="F946" t="s">
        <v>76</v>
      </c>
      <c r="G946">
        <v>4.0999999999999996</v>
      </c>
      <c r="H946">
        <v>57083</v>
      </c>
      <c r="I946" t="s">
        <v>901</v>
      </c>
      <c r="J946">
        <v>94.8</v>
      </c>
      <c r="K946">
        <v>20.5</v>
      </c>
      <c r="L946">
        <v>85.4</v>
      </c>
      <c r="M946">
        <v>75</v>
      </c>
      <c r="N946">
        <v>63</v>
      </c>
      <c r="O946">
        <v>1</v>
      </c>
      <c r="P946">
        <v>11</v>
      </c>
      <c r="Q946" t="s">
        <v>42</v>
      </c>
      <c r="R946" t="s">
        <v>25</v>
      </c>
    </row>
    <row r="947" spans="1:18" x14ac:dyDescent="0.25">
      <c r="A947">
        <v>1946</v>
      </c>
      <c r="B947" t="s">
        <v>1818</v>
      </c>
      <c r="C947" t="s">
        <v>32</v>
      </c>
      <c r="D947" t="s">
        <v>67</v>
      </c>
      <c r="E947" t="s">
        <v>34</v>
      </c>
      <c r="F947" t="s">
        <v>40</v>
      </c>
      <c r="G947">
        <v>3.2</v>
      </c>
      <c r="H947">
        <v>62196</v>
      </c>
      <c r="I947" t="s">
        <v>1819</v>
      </c>
      <c r="J947">
        <v>90</v>
      </c>
      <c r="K947">
        <v>13.2</v>
      </c>
      <c r="L947">
        <v>88.9</v>
      </c>
      <c r="M947">
        <v>70</v>
      </c>
      <c r="N947">
        <v>66</v>
      </c>
      <c r="O947">
        <v>2</v>
      </c>
      <c r="P947">
        <v>16</v>
      </c>
      <c r="Q947" t="s">
        <v>24</v>
      </c>
      <c r="R947" t="s">
        <v>25</v>
      </c>
    </row>
    <row r="948" spans="1:18" x14ac:dyDescent="0.25">
      <c r="A948">
        <v>1947</v>
      </c>
      <c r="B948" t="s">
        <v>1820</v>
      </c>
      <c r="C948" t="s">
        <v>44</v>
      </c>
      <c r="D948" t="s">
        <v>54</v>
      </c>
      <c r="E948" t="s">
        <v>46</v>
      </c>
      <c r="F948" t="s">
        <v>103</v>
      </c>
      <c r="G948">
        <v>8</v>
      </c>
      <c r="H948">
        <v>90114</v>
      </c>
      <c r="I948" t="s">
        <v>557</v>
      </c>
      <c r="J948">
        <v>97.3</v>
      </c>
      <c r="K948">
        <v>18</v>
      </c>
      <c r="L948">
        <v>87.4</v>
      </c>
      <c r="M948">
        <v>92</v>
      </c>
      <c r="N948">
        <v>90</v>
      </c>
      <c r="O948">
        <v>3</v>
      </c>
      <c r="P948">
        <v>23</v>
      </c>
      <c r="Q948" t="s">
        <v>37</v>
      </c>
      <c r="R948" t="s">
        <v>25</v>
      </c>
    </row>
    <row r="949" spans="1:18" x14ac:dyDescent="0.25">
      <c r="A949">
        <v>1948</v>
      </c>
      <c r="B949" t="s">
        <v>1821</v>
      </c>
      <c r="C949" t="s">
        <v>49</v>
      </c>
      <c r="D949" t="s">
        <v>50</v>
      </c>
      <c r="E949" t="s">
        <v>60</v>
      </c>
      <c r="F949" t="s">
        <v>22</v>
      </c>
      <c r="G949">
        <v>7.4</v>
      </c>
      <c r="H949">
        <v>84632</v>
      </c>
      <c r="I949" t="s">
        <v>1822</v>
      </c>
      <c r="J949">
        <v>90.3</v>
      </c>
      <c r="K949">
        <v>10.6</v>
      </c>
      <c r="L949">
        <v>79.400000000000006</v>
      </c>
      <c r="M949">
        <v>40</v>
      </c>
      <c r="N949">
        <v>30</v>
      </c>
      <c r="O949">
        <v>0</v>
      </c>
      <c r="P949">
        <v>14</v>
      </c>
      <c r="Q949" t="s">
        <v>24</v>
      </c>
      <c r="R949" t="s">
        <v>57</v>
      </c>
    </row>
    <row r="950" spans="1:18" x14ac:dyDescent="0.25">
      <c r="A950">
        <v>1949</v>
      </c>
      <c r="B950" t="s">
        <v>1823</v>
      </c>
      <c r="C950" t="s">
        <v>89</v>
      </c>
      <c r="D950" t="s">
        <v>90</v>
      </c>
      <c r="E950" t="s">
        <v>111</v>
      </c>
      <c r="F950" t="s">
        <v>103</v>
      </c>
      <c r="G950">
        <v>1.2</v>
      </c>
      <c r="H950">
        <v>50395</v>
      </c>
      <c r="I950" t="s">
        <v>1824</v>
      </c>
      <c r="J950">
        <v>98.3</v>
      </c>
      <c r="K950">
        <v>10.7</v>
      </c>
      <c r="L950">
        <v>90</v>
      </c>
      <c r="M950">
        <v>65</v>
      </c>
      <c r="N950">
        <v>57</v>
      </c>
      <c r="O950">
        <v>3</v>
      </c>
      <c r="P950">
        <v>20</v>
      </c>
      <c r="Q950" t="s">
        <v>42</v>
      </c>
      <c r="R950" t="s">
        <v>62</v>
      </c>
    </row>
    <row r="951" spans="1:18" x14ac:dyDescent="0.25">
      <c r="A951">
        <v>1950</v>
      </c>
      <c r="B951" t="s">
        <v>1825</v>
      </c>
      <c r="C951" t="s">
        <v>44</v>
      </c>
      <c r="D951" t="s">
        <v>54</v>
      </c>
      <c r="E951" t="s">
        <v>97</v>
      </c>
      <c r="F951" t="s">
        <v>40</v>
      </c>
      <c r="G951">
        <v>1.6</v>
      </c>
      <c r="H951">
        <v>50895</v>
      </c>
      <c r="I951" t="s">
        <v>1826</v>
      </c>
      <c r="J951">
        <v>92.8</v>
      </c>
      <c r="K951">
        <v>12.7</v>
      </c>
      <c r="L951">
        <v>74.400000000000006</v>
      </c>
      <c r="M951">
        <v>92</v>
      </c>
      <c r="N951">
        <v>74</v>
      </c>
      <c r="O951">
        <v>4</v>
      </c>
      <c r="P951">
        <v>17</v>
      </c>
      <c r="Q951" t="s">
        <v>37</v>
      </c>
      <c r="R951" t="s">
        <v>57</v>
      </c>
    </row>
    <row r="952" spans="1:18" x14ac:dyDescent="0.25">
      <c r="A952">
        <v>1951</v>
      </c>
      <c r="B952" t="s">
        <v>1827</v>
      </c>
      <c r="C952" t="s">
        <v>19</v>
      </c>
      <c r="D952" t="s">
        <v>81</v>
      </c>
      <c r="E952" t="s">
        <v>82</v>
      </c>
      <c r="F952" t="s">
        <v>35</v>
      </c>
      <c r="G952">
        <v>5.7</v>
      </c>
      <c r="H952">
        <v>76659</v>
      </c>
      <c r="I952" t="s">
        <v>361</v>
      </c>
      <c r="J952">
        <v>89.7</v>
      </c>
      <c r="K952">
        <v>25.6</v>
      </c>
      <c r="L952">
        <v>84.6</v>
      </c>
      <c r="M952">
        <v>81</v>
      </c>
      <c r="N952">
        <v>65</v>
      </c>
      <c r="O952">
        <v>3</v>
      </c>
      <c r="P952">
        <v>17</v>
      </c>
      <c r="Q952" t="s">
        <v>24</v>
      </c>
      <c r="R952" t="s">
        <v>25</v>
      </c>
    </row>
    <row r="953" spans="1:18" x14ac:dyDescent="0.25">
      <c r="A953">
        <v>1952</v>
      </c>
      <c r="B953" t="s">
        <v>1828</v>
      </c>
      <c r="C953" t="s">
        <v>27</v>
      </c>
      <c r="D953" t="s">
        <v>75</v>
      </c>
      <c r="E953" t="s">
        <v>118</v>
      </c>
      <c r="F953" t="s">
        <v>35</v>
      </c>
      <c r="G953">
        <v>3.3</v>
      </c>
      <c r="H953">
        <v>45992</v>
      </c>
      <c r="I953" t="s">
        <v>1829</v>
      </c>
      <c r="J953">
        <v>89.7</v>
      </c>
      <c r="K953">
        <v>19.600000000000001</v>
      </c>
      <c r="L953">
        <v>91</v>
      </c>
      <c r="M953">
        <v>65</v>
      </c>
      <c r="N953">
        <v>58</v>
      </c>
      <c r="O953">
        <v>5</v>
      </c>
      <c r="P953">
        <v>9</v>
      </c>
      <c r="Q953" t="s">
        <v>42</v>
      </c>
      <c r="R953" t="s">
        <v>62</v>
      </c>
    </row>
    <row r="954" spans="1:18" x14ac:dyDescent="0.25">
      <c r="A954">
        <v>1953</v>
      </c>
      <c r="B954" t="s">
        <v>1830</v>
      </c>
      <c r="C954" t="s">
        <v>27</v>
      </c>
      <c r="D954" t="s">
        <v>28</v>
      </c>
      <c r="E954" t="s">
        <v>29</v>
      </c>
      <c r="F954" t="s">
        <v>35</v>
      </c>
      <c r="G954">
        <v>5.8</v>
      </c>
      <c r="H954">
        <v>67206</v>
      </c>
      <c r="I954" t="s">
        <v>1831</v>
      </c>
      <c r="J954">
        <v>94.1</v>
      </c>
      <c r="K954">
        <v>0.4</v>
      </c>
      <c r="L954">
        <v>94.3</v>
      </c>
      <c r="M954">
        <v>35</v>
      </c>
      <c r="N954">
        <v>34</v>
      </c>
      <c r="O954">
        <v>0</v>
      </c>
      <c r="P954">
        <v>12</v>
      </c>
      <c r="Q954" t="s">
        <v>42</v>
      </c>
      <c r="R954" t="s">
        <v>62</v>
      </c>
    </row>
    <row r="955" spans="1:18" x14ac:dyDescent="0.25">
      <c r="A955">
        <v>1954</v>
      </c>
      <c r="B955" t="s">
        <v>1832</v>
      </c>
      <c r="C955" t="s">
        <v>27</v>
      </c>
      <c r="D955" t="s">
        <v>75</v>
      </c>
      <c r="E955" t="s">
        <v>29</v>
      </c>
      <c r="F955" t="s">
        <v>40</v>
      </c>
      <c r="G955">
        <v>5.4</v>
      </c>
      <c r="H955">
        <v>64010</v>
      </c>
      <c r="I955" t="s">
        <v>1645</v>
      </c>
      <c r="J955">
        <v>96.3</v>
      </c>
      <c r="K955">
        <v>7.4</v>
      </c>
      <c r="L955">
        <v>99.5</v>
      </c>
      <c r="M955">
        <v>61</v>
      </c>
      <c r="N955">
        <v>59</v>
      </c>
      <c r="O955">
        <v>0</v>
      </c>
      <c r="P955">
        <v>10</v>
      </c>
      <c r="Q955" t="s">
        <v>42</v>
      </c>
      <c r="R955" t="s">
        <v>62</v>
      </c>
    </row>
    <row r="956" spans="1:18" x14ac:dyDescent="0.25">
      <c r="A956">
        <v>1955</v>
      </c>
      <c r="B956" t="s">
        <v>1833</v>
      </c>
      <c r="C956" t="s">
        <v>49</v>
      </c>
      <c r="D956" t="s">
        <v>178</v>
      </c>
      <c r="E956" t="s">
        <v>60</v>
      </c>
      <c r="F956" t="s">
        <v>22</v>
      </c>
      <c r="G956">
        <v>4.2</v>
      </c>
      <c r="H956">
        <v>62646</v>
      </c>
      <c r="I956" t="s">
        <v>1834</v>
      </c>
      <c r="J956">
        <v>92.5</v>
      </c>
      <c r="K956">
        <v>4.2</v>
      </c>
      <c r="L956">
        <v>92.3</v>
      </c>
      <c r="M956">
        <v>70</v>
      </c>
      <c r="N956">
        <v>63</v>
      </c>
      <c r="O956">
        <v>0</v>
      </c>
      <c r="P956">
        <v>16</v>
      </c>
      <c r="Q956" t="s">
        <v>42</v>
      </c>
      <c r="R956" t="s">
        <v>62</v>
      </c>
    </row>
    <row r="957" spans="1:18" x14ac:dyDescent="0.25">
      <c r="A957">
        <v>1956</v>
      </c>
      <c r="B957" t="s">
        <v>1835</v>
      </c>
      <c r="C957" t="s">
        <v>27</v>
      </c>
      <c r="D957" t="s">
        <v>64</v>
      </c>
      <c r="E957" t="s">
        <v>29</v>
      </c>
      <c r="F957" t="s">
        <v>86</v>
      </c>
      <c r="G957">
        <v>4.3</v>
      </c>
      <c r="H957">
        <v>80588</v>
      </c>
      <c r="I957" t="s">
        <v>563</v>
      </c>
      <c r="J957">
        <v>90.8</v>
      </c>
      <c r="K957">
        <v>13.3</v>
      </c>
      <c r="L957">
        <v>82.9</v>
      </c>
      <c r="M957">
        <v>75</v>
      </c>
      <c r="N957">
        <v>67</v>
      </c>
      <c r="O957">
        <v>4</v>
      </c>
      <c r="P957">
        <v>10</v>
      </c>
      <c r="Q957" t="s">
        <v>42</v>
      </c>
      <c r="R957" t="s">
        <v>25</v>
      </c>
    </row>
    <row r="958" spans="1:18" x14ac:dyDescent="0.25">
      <c r="A958">
        <v>1957</v>
      </c>
      <c r="B958" t="s">
        <v>1836</v>
      </c>
      <c r="C958" t="s">
        <v>89</v>
      </c>
      <c r="D958" t="s">
        <v>121</v>
      </c>
      <c r="E958" t="s">
        <v>152</v>
      </c>
      <c r="F958" t="s">
        <v>86</v>
      </c>
      <c r="G958">
        <v>3.2</v>
      </c>
      <c r="H958">
        <v>53288</v>
      </c>
      <c r="I958" t="s">
        <v>1837</v>
      </c>
      <c r="J958">
        <v>92.5</v>
      </c>
      <c r="K958">
        <v>22.1</v>
      </c>
      <c r="L958">
        <v>100</v>
      </c>
      <c r="M958">
        <v>71</v>
      </c>
      <c r="N958">
        <v>63</v>
      </c>
      <c r="O958">
        <v>1</v>
      </c>
      <c r="P958">
        <v>26</v>
      </c>
      <c r="Q958" t="s">
        <v>24</v>
      </c>
      <c r="R958" t="s">
        <v>62</v>
      </c>
    </row>
    <row r="959" spans="1:18" x14ac:dyDescent="0.25">
      <c r="A959">
        <v>1958</v>
      </c>
      <c r="B959" t="s">
        <v>1838</v>
      </c>
      <c r="C959" t="s">
        <v>27</v>
      </c>
      <c r="D959" t="s">
        <v>75</v>
      </c>
      <c r="E959" t="s">
        <v>85</v>
      </c>
      <c r="F959" t="s">
        <v>35</v>
      </c>
      <c r="G959">
        <v>9.6</v>
      </c>
      <c r="H959">
        <v>106560</v>
      </c>
      <c r="I959" t="s">
        <v>1399</v>
      </c>
      <c r="J959">
        <v>89.3</v>
      </c>
      <c r="K959">
        <v>18</v>
      </c>
      <c r="L959">
        <v>83.2</v>
      </c>
      <c r="M959">
        <v>84</v>
      </c>
      <c r="N959">
        <v>72</v>
      </c>
      <c r="O959">
        <v>1</v>
      </c>
      <c r="P959">
        <v>15</v>
      </c>
      <c r="Q959" t="s">
        <v>42</v>
      </c>
      <c r="R959" t="s">
        <v>25</v>
      </c>
    </row>
    <row r="960" spans="1:18" x14ac:dyDescent="0.25">
      <c r="A960">
        <v>1959</v>
      </c>
      <c r="B960" t="s">
        <v>1839</v>
      </c>
      <c r="C960" t="s">
        <v>44</v>
      </c>
      <c r="D960" t="s">
        <v>70</v>
      </c>
      <c r="E960" t="s">
        <v>97</v>
      </c>
      <c r="F960" t="s">
        <v>76</v>
      </c>
      <c r="G960">
        <v>6.4</v>
      </c>
      <c r="H960">
        <v>75143</v>
      </c>
      <c r="I960" t="s">
        <v>1840</v>
      </c>
      <c r="J960">
        <v>89.6</v>
      </c>
      <c r="K960">
        <v>35.4</v>
      </c>
      <c r="L960">
        <v>72.900000000000006</v>
      </c>
      <c r="M960">
        <v>124</v>
      </c>
      <c r="N960">
        <v>95</v>
      </c>
      <c r="O960">
        <v>7</v>
      </c>
      <c r="P960">
        <v>24</v>
      </c>
      <c r="Q960" t="s">
        <v>37</v>
      </c>
      <c r="R960" t="s">
        <v>57</v>
      </c>
    </row>
    <row r="961" spans="1:18" x14ac:dyDescent="0.25">
      <c r="A961">
        <v>1960</v>
      </c>
      <c r="B961" t="s">
        <v>1841</v>
      </c>
      <c r="C961" t="s">
        <v>27</v>
      </c>
      <c r="D961" t="s">
        <v>75</v>
      </c>
      <c r="E961" t="s">
        <v>85</v>
      </c>
      <c r="F961" t="s">
        <v>35</v>
      </c>
      <c r="G961">
        <v>3.5</v>
      </c>
      <c r="H961">
        <v>55409</v>
      </c>
      <c r="I961" t="s">
        <v>415</v>
      </c>
      <c r="J961">
        <v>99.9</v>
      </c>
      <c r="K961">
        <v>18.399999999999999</v>
      </c>
      <c r="L961">
        <v>95.1</v>
      </c>
      <c r="M961">
        <v>74</v>
      </c>
      <c r="N961">
        <v>74</v>
      </c>
      <c r="O961">
        <v>0</v>
      </c>
      <c r="P961">
        <v>13</v>
      </c>
      <c r="Q961" t="s">
        <v>42</v>
      </c>
      <c r="R961" t="s">
        <v>62</v>
      </c>
    </row>
    <row r="962" spans="1:18" x14ac:dyDescent="0.25">
      <c r="A962">
        <v>1961</v>
      </c>
      <c r="B962" t="s">
        <v>1842</v>
      </c>
      <c r="C962" t="s">
        <v>49</v>
      </c>
      <c r="D962" t="s">
        <v>59</v>
      </c>
      <c r="E962" t="s">
        <v>163</v>
      </c>
      <c r="F962" t="s">
        <v>40</v>
      </c>
      <c r="G962">
        <v>3.8</v>
      </c>
      <c r="H962">
        <v>64116</v>
      </c>
      <c r="I962" t="s">
        <v>1843</v>
      </c>
      <c r="J962">
        <v>90.2</v>
      </c>
      <c r="K962">
        <v>24.4</v>
      </c>
      <c r="L962">
        <v>90.7</v>
      </c>
      <c r="M962">
        <v>80</v>
      </c>
      <c r="N962">
        <v>73</v>
      </c>
      <c r="O962">
        <v>4</v>
      </c>
      <c r="P962">
        <v>16</v>
      </c>
      <c r="Q962" t="s">
        <v>24</v>
      </c>
      <c r="R962" t="s">
        <v>62</v>
      </c>
    </row>
    <row r="963" spans="1:18" x14ac:dyDescent="0.25">
      <c r="A963">
        <v>1962</v>
      </c>
      <c r="B963" t="s">
        <v>1844</v>
      </c>
      <c r="C963" t="s">
        <v>32</v>
      </c>
      <c r="D963" t="s">
        <v>106</v>
      </c>
      <c r="E963" t="s">
        <v>128</v>
      </c>
      <c r="F963" t="s">
        <v>35</v>
      </c>
      <c r="G963">
        <v>4.2</v>
      </c>
      <c r="H963">
        <v>64115</v>
      </c>
      <c r="I963" t="s">
        <v>1845</v>
      </c>
      <c r="J963">
        <v>95.1</v>
      </c>
      <c r="K963">
        <v>15.9</v>
      </c>
      <c r="L963">
        <v>75.3</v>
      </c>
      <c r="M963">
        <v>101</v>
      </c>
      <c r="N963">
        <v>79</v>
      </c>
      <c r="O963">
        <v>5</v>
      </c>
      <c r="P963">
        <v>14</v>
      </c>
      <c r="Q963" t="s">
        <v>24</v>
      </c>
      <c r="R963" t="s">
        <v>57</v>
      </c>
    </row>
    <row r="964" spans="1:18" x14ac:dyDescent="0.25">
      <c r="A964">
        <v>1963</v>
      </c>
      <c r="B964" t="s">
        <v>1846</v>
      </c>
      <c r="C964" t="s">
        <v>44</v>
      </c>
      <c r="D964" t="s">
        <v>54</v>
      </c>
      <c r="E964" t="s">
        <v>55</v>
      </c>
      <c r="F964" t="s">
        <v>35</v>
      </c>
      <c r="G964">
        <v>0.5</v>
      </c>
      <c r="H964">
        <v>41039</v>
      </c>
      <c r="I964" t="s">
        <v>1847</v>
      </c>
      <c r="J964">
        <v>92.3</v>
      </c>
      <c r="K964">
        <v>12.7</v>
      </c>
      <c r="L964">
        <v>74.900000000000006</v>
      </c>
      <c r="M964">
        <v>73</v>
      </c>
      <c r="N964">
        <v>59</v>
      </c>
      <c r="O964">
        <v>7</v>
      </c>
      <c r="P964">
        <v>9</v>
      </c>
      <c r="Q964" t="s">
        <v>37</v>
      </c>
      <c r="R964" t="s">
        <v>57</v>
      </c>
    </row>
    <row r="965" spans="1:18" x14ac:dyDescent="0.25">
      <c r="A965">
        <v>1964</v>
      </c>
      <c r="B965" t="s">
        <v>1848</v>
      </c>
      <c r="C965" t="s">
        <v>27</v>
      </c>
      <c r="D965" t="s">
        <v>64</v>
      </c>
      <c r="E965" t="s">
        <v>29</v>
      </c>
      <c r="F965" t="s">
        <v>40</v>
      </c>
      <c r="G965">
        <v>5.0999999999999996</v>
      </c>
      <c r="H965">
        <v>74342</v>
      </c>
      <c r="I965" t="s">
        <v>1849</v>
      </c>
      <c r="J965">
        <v>87</v>
      </c>
      <c r="K965">
        <v>17.7</v>
      </c>
      <c r="L965">
        <v>85.8</v>
      </c>
      <c r="M965">
        <v>65</v>
      </c>
      <c r="N965">
        <v>59</v>
      </c>
      <c r="O965">
        <v>4</v>
      </c>
      <c r="P965">
        <v>15</v>
      </c>
      <c r="Q965" t="s">
        <v>42</v>
      </c>
      <c r="R965" t="s">
        <v>25</v>
      </c>
    </row>
    <row r="966" spans="1:18" x14ac:dyDescent="0.25">
      <c r="A966">
        <v>1965</v>
      </c>
      <c r="B966" t="s">
        <v>1850</v>
      </c>
      <c r="C966" t="s">
        <v>32</v>
      </c>
      <c r="D966" t="s">
        <v>106</v>
      </c>
      <c r="E966" t="s">
        <v>128</v>
      </c>
      <c r="F966" t="s">
        <v>40</v>
      </c>
      <c r="G966">
        <v>4.7</v>
      </c>
      <c r="H966">
        <v>80498</v>
      </c>
      <c r="I966" t="s">
        <v>1851</v>
      </c>
      <c r="J966">
        <v>89.5</v>
      </c>
      <c r="K966">
        <v>32.4</v>
      </c>
      <c r="L966">
        <v>73.099999999999994</v>
      </c>
      <c r="M966">
        <v>126</v>
      </c>
      <c r="N966">
        <v>96</v>
      </c>
      <c r="O966">
        <v>1</v>
      </c>
      <c r="P966">
        <v>17</v>
      </c>
      <c r="Q966" t="s">
        <v>37</v>
      </c>
      <c r="R966" t="s">
        <v>57</v>
      </c>
    </row>
    <row r="967" spans="1:18" x14ac:dyDescent="0.25">
      <c r="A967">
        <v>1966</v>
      </c>
      <c r="B967" t="s">
        <v>1852</v>
      </c>
      <c r="C967" t="s">
        <v>19</v>
      </c>
      <c r="D967" t="s">
        <v>20</v>
      </c>
      <c r="E967" t="s">
        <v>21</v>
      </c>
      <c r="F967" t="s">
        <v>86</v>
      </c>
      <c r="G967">
        <v>5.2</v>
      </c>
      <c r="H967">
        <v>70401</v>
      </c>
      <c r="I967" t="s">
        <v>1853</v>
      </c>
      <c r="J967">
        <v>92.2</v>
      </c>
      <c r="K967">
        <v>22</v>
      </c>
      <c r="L967">
        <v>90.2</v>
      </c>
      <c r="M967">
        <v>108</v>
      </c>
      <c r="N967">
        <v>106</v>
      </c>
      <c r="O967">
        <v>3</v>
      </c>
      <c r="P967">
        <v>13</v>
      </c>
      <c r="Q967" t="s">
        <v>24</v>
      </c>
      <c r="R967" t="s">
        <v>62</v>
      </c>
    </row>
    <row r="968" spans="1:18" x14ac:dyDescent="0.25">
      <c r="A968">
        <v>1967</v>
      </c>
      <c r="B968" t="s">
        <v>1854</v>
      </c>
      <c r="C968" t="s">
        <v>49</v>
      </c>
      <c r="D968" t="s">
        <v>50</v>
      </c>
      <c r="E968" t="s">
        <v>163</v>
      </c>
      <c r="F968" t="s">
        <v>35</v>
      </c>
      <c r="G968">
        <v>4.7</v>
      </c>
      <c r="H968">
        <v>42945</v>
      </c>
      <c r="I968" t="s">
        <v>861</v>
      </c>
      <c r="J968">
        <v>89.8</v>
      </c>
      <c r="K968">
        <v>0</v>
      </c>
      <c r="L968">
        <v>85.9</v>
      </c>
      <c r="M968">
        <v>66</v>
      </c>
      <c r="N968">
        <v>59</v>
      </c>
      <c r="O968">
        <v>4</v>
      </c>
      <c r="P968">
        <v>18</v>
      </c>
      <c r="Q968" t="s">
        <v>42</v>
      </c>
      <c r="R968" t="s">
        <v>25</v>
      </c>
    </row>
    <row r="969" spans="1:18" x14ac:dyDescent="0.25">
      <c r="A969">
        <v>1968</v>
      </c>
      <c r="B969" t="s">
        <v>1855</v>
      </c>
      <c r="C969" t="s">
        <v>32</v>
      </c>
      <c r="D969" t="s">
        <v>67</v>
      </c>
      <c r="E969" t="s">
        <v>94</v>
      </c>
      <c r="F969" t="s">
        <v>22</v>
      </c>
      <c r="G969">
        <v>4.5999999999999996</v>
      </c>
      <c r="H969">
        <v>64735</v>
      </c>
      <c r="I969" t="s">
        <v>1856</v>
      </c>
      <c r="J969">
        <v>84.8</v>
      </c>
      <c r="K969">
        <v>25.9</v>
      </c>
      <c r="L969">
        <v>84</v>
      </c>
      <c r="M969">
        <v>108</v>
      </c>
      <c r="N969">
        <v>96</v>
      </c>
      <c r="O969">
        <v>1</v>
      </c>
      <c r="P969">
        <v>24</v>
      </c>
      <c r="Q969" t="s">
        <v>37</v>
      </c>
      <c r="R969" t="s">
        <v>25</v>
      </c>
    </row>
    <row r="970" spans="1:18" x14ac:dyDescent="0.25">
      <c r="A970">
        <v>1969</v>
      </c>
      <c r="B970" t="s">
        <v>1857</v>
      </c>
      <c r="C970" t="s">
        <v>44</v>
      </c>
      <c r="D970" t="s">
        <v>45</v>
      </c>
      <c r="E970" t="s">
        <v>46</v>
      </c>
      <c r="F970" t="s">
        <v>35</v>
      </c>
      <c r="G970">
        <v>4.7</v>
      </c>
      <c r="H970">
        <v>74781</v>
      </c>
      <c r="I970" t="s">
        <v>1858</v>
      </c>
      <c r="J970">
        <v>89.1</v>
      </c>
      <c r="K970">
        <v>29.1</v>
      </c>
      <c r="L970">
        <v>68</v>
      </c>
      <c r="M970">
        <v>107</v>
      </c>
      <c r="N970">
        <v>74</v>
      </c>
      <c r="O970">
        <v>2</v>
      </c>
      <c r="P970">
        <v>14</v>
      </c>
      <c r="Q970" t="s">
        <v>37</v>
      </c>
      <c r="R970" t="s">
        <v>203</v>
      </c>
    </row>
    <row r="971" spans="1:18" x14ac:dyDescent="0.25">
      <c r="A971">
        <v>1970</v>
      </c>
      <c r="B971" t="s">
        <v>1859</v>
      </c>
      <c r="C971" t="s">
        <v>89</v>
      </c>
      <c r="D971" t="s">
        <v>121</v>
      </c>
      <c r="E971" t="s">
        <v>91</v>
      </c>
      <c r="F971" t="s">
        <v>22</v>
      </c>
      <c r="G971">
        <v>3.5</v>
      </c>
      <c r="H971">
        <v>44485</v>
      </c>
      <c r="I971" t="s">
        <v>1860</v>
      </c>
      <c r="J971">
        <v>95.1</v>
      </c>
      <c r="K971">
        <v>21.8</v>
      </c>
      <c r="L971">
        <v>91.8</v>
      </c>
      <c r="M971">
        <v>97</v>
      </c>
      <c r="N971">
        <v>86</v>
      </c>
      <c r="O971">
        <v>4</v>
      </c>
      <c r="P971">
        <v>22</v>
      </c>
      <c r="Q971" t="s">
        <v>42</v>
      </c>
      <c r="R971" t="s">
        <v>62</v>
      </c>
    </row>
    <row r="972" spans="1:18" x14ac:dyDescent="0.25">
      <c r="A972">
        <v>1971</v>
      </c>
      <c r="B972" t="s">
        <v>1861</v>
      </c>
      <c r="C972" t="s">
        <v>32</v>
      </c>
      <c r="D972" t="s">
        <v>106</v>
      </c>
      <c r="E972" t="s">
        <v>128</v>
      </c>
      <c r="F972" t="s">
        <v>103</v>
      </c>
      <c r="G972">
        <v>6.2</v>
      </c>
      <c r="H972">
        <v>77258</v>
      </c>
      <c r="I972" t="s">
        <v>1727</v>
      </c>
      <c r="J972">
        <v>90.6</v>
      </c>
      <c r="K972">
        <v>22.2</v>
      </c>
      <c r="L972">
        <v>91.8</v>
      </c>
      <c r="M972">
        <v>105</v>
      </c>
      <c r="N972">
        <v>88</v>
      </c>
      <c r="O972">
        <v>4</v>
      </c>
      <c r="P972">
        <v>16</v>
      </c>
      <c r="Q972" t="s">
        <v>42</v>
      </c>
      <c r="R972" t="s">
        <v>62</v>
      </c>
    </row>
    <row r="973" spans="1:18" x14ac:dyDescent="0.25">
      <c r="A973">
        <v>1972</v>
      </c>
      <c r="B973" t="s">
        <v>1862</v>
      </c>
      <c r="C973" t="s">
        <v>44</v>
      </c>
      <c r="D973" t="s">
        <v>54</v>
      </c>
      <c r="E973" t="s">
        <v>46</v>
      </c>
      <c r="F973" t="s">
        <v>103</v>
      </c>
      <c r="G973">
        <v>7.1</v>
      </c>
      <c r="H973">
        <v>73563</v>
      </c>
      <c r="I973" t="s">
        <v>1863</v>
      </c>
      <c r="J973">
        <v>88.4</v>
      </c>
      <c r="K973">
        <v>31.5</v>
      </c>
      <c r="L973">
        <v>64.900000000000006</v>
      </c>
      <c r="M973">
        <v>117</v>
      </c>
      <c r="N973">
        <v>79</v>
      </c>
      <c r="O973">
        <v>4</v>
      </c>
      <c r="P973">
        <v>14</v>
      </c>
      <c r="Q973" t="s">
        <v>37</v>
      </c>
      <c r="R973" t="s">
        <v>203</v>
      </c>
    </row>
    <row r="974" spans="1:18" x14ac:dyDescent="0.25">
      <c r="A974">
        <v>1973</v>
      </c>
      <c r="B974" t="s">
        <v>1864</v>
      </c>
      <c r="C974" t="s">
        <v>19</v>
      </c>
      <c r="D974" t="s">
        <v>81</v>
      </c>
      <c r="E974" t="s">
        <v>39</v>
      </c>
      <c r="F974" t="s">
        <v>35</v>
      </c>
      <c r="G974">
        <v>4.4000000000000004</v>
      </c>
      <c r="H974">
        <v>54418</v>
      </c>
      <c r="I974" t="s">
        <v>1865</v>
      </c>
      <c r="J974">
        <v>91.6</v>
      </c>
      <c r="K974">
        <v>14</v>
      </c>
      <c r="L974">
        <v>83.5</v>
      </c>
      <c r="M974">
        <v>85</v>
      </c>
      <c r="N974">
        <v>72</v>
      </c>
      <c r="O974">
        <v>0</v>
      </c>
      <c r="P974">
        <v>21</v>
      </c>
      <c r="Q974" t="s">
        <v>24</v>
      </c>
      <c r="R974" t="s">
        <v>25</v>
      </c>
    </row>
    <row r="975" spans="1:18" x14ac:dyDescent="0.25">
      <c r="A975">
        <v>1974</v>
      </c>
      <c r="B975" t="s">
        <v>1866</v>
      </c>
      <c r="C975" t="s">
        <v>27</v>
      </c>
      <c r="D975" t="s">
        <v>75</v>
      </c>
      <c r="E975" t="s">
        <v>85</v>
      </c>
      <c r="F975" t="s">
        <v>22</v>
      </c>
      <c r="G975">
        <v>4.0999999999999996</v>
      </c>
      <c r="H975">
        <v>48135</v>
      </c>
      <c r="I975" t="s">
        <v>1867</v>
      </c>
      <c r="J975">
        <v>90.6</v>
      </c>
      <c r="K975">
        <v>20.3</v>
      </c>
      <c r="L975">
        <v>89.5</v>
      </c>
      <c r="M975">
        <v>64</v>
      </c>
      <c r="N975">
        <v>57</v>
      </c>
      <c r="O975">
        <v>2</v>
      </c>
      <c r="P975">
        <v>11</v>
      </c>
      <c r="Q975" t="s">
        <v>42</v>
      </c>
      <c r="R975" t="s">
        <v>25</v>
      </c>
    </row>
    <row r="976" spans="1:18" x14ac:dyDescent="0.25">
      <c r="A976">
        <v>1975</v>
      </c>
      <c r="B976" t="s">
        <v>1868</v>
      </c>
      <c r="C976" t="s">
        <v>89</v>
      </c>
      <c r="D976" t="s">
        <v>121</v>
      </c>
      <c r="E976" t="s">
        <v>91</v>
      </c>
      <c r="F976" t="s">
        <v>103</v>
      </c>
      <c r="G976">
        <v>6.9</v>
      </c>
      <c r="H976">
        <v>80174</v>
      </c>
      <c r="I976" t="s">
        <v>1869</v>
      </c>
      <c r="J976">
        <v>95.4</v>
      </c>
      <c r="K976">
        <v>7.2</v>
      </c>
      <c r="L976">
        <v>86.3</v>
      </c>
      <c r="M976">
        <v>78</v>
      </c>
      <c r="N976">
        <v>63</v>
      </c>
      <c r="O976">
        <v>2</v>
      </c>
      <c r="P976">
        <v>12</v>
      </c>
      <c r="Q976" t="s">
        <v>42</v>
      </c>
      <c r="R976" t="s">
        <v>25</v>
      </c>
    </row>
    <row r="977" spans="1:18" x14ac:dyDescent="0.25">
      <c r="A977">
        <v>1976</v>
      </c>
      <c r="B977" t="s">
        <v>1870</v>
      </c>
      <c r="C977" t="s">
        <v>19</v>
      </c>
      <c r="D977" t="s">
        <v>81</v>
      </c>
      <c r="E977" t="s">
        <v>82</v>
      </c>
      <c r="F977" t="s">
        <v>76</v>
      </c>
      <c r="G977">
        <v>2.2000000000000002</v>
      </c>
      <c r="H977">
        <v>39686</v>
      </c>
      <c r="I977" t="s">
        <v>1871</v>
      </c>
      <c r="J977">
        <v>82.2</v>
      </c>
      <c r="K977">
        <v>12</v>
      </c>
      <c r="L977">
        <v>78.8</v>
      </c>
      <c r="M977">
        <v>67</v>
      </c>
      <c r="N977">
        <v>55</v>
      </c>
      <c r="O977">
        <v>6</v>
      </c>
      <c r="P977">
        <v>11</v>
      </c>
      <c r="Q977" t="s">
        <v>24</v>
      </c>
      <c r="R977" t="s">
        <v>57</v>
      </c>
    </row>
    <row r="978" spans="1:18" x14ac:dyDescent="0.25">
      <c r="A978">
        <v>1977</v>
      </c>
      <c r="B978" t="s">
        <v>1872</v>
      </c>
      <c r="C978" t="s">
        <v>49</v>
      </c>
      <c r="D978" t="s">
        <v>59</v>
      </c>
      <c r="E978" t="s">
        <v>163</v>
      </c>
      <c r="F978" t="s">
        <v>86</v>
      </c>
      <c r="G978">
        <v>1.8</v>
      </c>
      <c r="H978">
        <v>60203</v>
      </c>
      <c r="I978" t="s">
        <v>711</v>
      </c>
      <c r="J978">
        <v>95.1</v>
      </c>
      <c r="K978">
        <v>0</v>
      </c>
      <c r="L978">
        <v>87.7</v>
      </c>
      <c r="M978">
        <v>57</v>
      </c>
      <c r="N978">
        <v>50</v>
      </c>
      <c r="O978">
        <v>1</v>
      </c>
      <c r="P978">
        <v>19</v>
      </c>
      <c r="Q978" t="s">
        <v>42</v>
      </c>
      <c r="R978" t="s">
        <v>25</v>
      </c>
    </row>
    <row r="979" spans="1:18" x14ac:dyDescent="0.25">
      <c r="A979">
        <v>1978</v>
      </c>
      <c r="B979" t="s">
        <v>1873</v>
      </c>
      <c r="C979" t="s">
        <v>44</v>
      </c>
      <c r="D979" t="s">
        <v>54</v>
      </c>
      <c r="E979" t="s">
        <v>55</v>
      </c>
      <c r="F979" t="s">
        <v>86</v>
      </c>
      <c r="G979">
        <v>2.7</v>
      </c>
      <c r="H979">
        <v>51681</v>
      </c>
      <c r="I979" t="s">
        <v>1874</v>
      </c>
      <c r="J979">
        <v>93.8</v>
      </c>
      <c r="K979">
        <v>32.5</v>
      </c>
      <c r="L979">
        <v>79.099999999999994</v>
      </c>
      <c r="M979">
        <v>108</v>
      </c>
      <c r="N979">
        <v>99</v>
      </c>
      <c r="O979">
        <v>7</v>
      </c>
      <c r="P979">
        <v>27</v>
      </c>
      <c r="Q979" t="s">
        <v>37</v>
      </c>
      <c r="R979" t="s">
        <v>57</v>
      </c>
    </row>
    <row r="980" spans="1:18" x14ac:dyDescent="0.25">
      <c r="A980">
        <v>1979</v>
      </c>
      <c r="B980" t="s">
        <v>1875</v>
      </c>
      <c r="C980" t="s">
        <v>44</v>
      </c>
      <c r="D980" t="s">
        <v>70</v>
      </c>
      <c r="E980" t="s">
        <v>46</v>
      </c>
      <c r="F980" t="s">
        <v>35</v>
      </c>
      <c r="G980">
        <v>6.7</v>
      </c>
      <c r="H980">
        <v>86939</v>
      </c>
      <c r="I980" t="s">
        <v>1876</v>
      </c>
      <c r="J980">
        <v>92</v>
      </c>
      <c r="K980">
        <v>18.600000000000001</v>
      </c>
      <c r="L980">
        <v>81.8</v>
      </c>
      <c r="M980">
        <v>104</v>
      </c>
      <c r="N980">
        <v>82</v>
      </c>
      <c r="O980">
        <v>4</v>
      </c>
      <c r="P980">
        <v>15</v>
      </c>
      <c r="Q980" t="s">
        <v>24</v>
      </c>
      <c r="R980" t="s">
        <v>25</v>
      </c>
    </row>
    <row r="981" spans="1:18" x14ac:dyDescent="0.25">
      <c r="A981">
        <v>1980</v>
      </c>
      <c r="B981" t="s">
        <v>1877</v>
      </c>
      <c r="C981" t="s">
        <v>27</v>
      </c>
      <c r="D981" t="s">
        <v>64</v>
      </c>
      <c r="E981" t="s">
        <v>85</v>
      </c>
      <c r="F981" t="s">
        <v>103</v>
      </c>
      <c r="G981">
        <v>3.5</v>
      </c>
      <c r="H981">
        <v>61841</v>
      </c>
      <c r="I981" t="s">
        <v>1878</v>
      </c>
      <c r="J981">
        <v>95.2</v>
      </c>
      <c r="K981">
        <v>20.399999999999999</v>
      </c>
      <c r="L981">
        <v>98.3</v>
      </c>
      <c r="M981">
        <v>44</v>
      </c>
      <c r="N981">
        <v>44</v>
      </c>
      <c r="O981">
        <v>0</v>
      </c>
      <c r="P981">
        <v>17</v>
      </c>
      <c r="Q981" t="s">
        <v>24</v>
      </c>
      <c r="R981" t="s">
        <v>62</v>
      </c>
    </row>
    <row r="982" spans="1:18" x14ac:dyDescent="0.25">
      <c r="A982">
        <v>1981</v>
      </c>
      <c r="B982" t="s">
        <v>1879</v>
      </c>
      <c r="C982" t="s">
        <v>44</v>
      </c>
      <c r="D982" t="s">
        <v>54</v>
      </c>
      <c r="E982" t="s">
        <v>46</v>
      </c>
      <c r="F982" t="s">
        <v>40</v>
      </c>
      <c r="G982">
        <v>1.5</v>
      </c>
      <c r="H982">
        <v>38252</v>
      </c>
      <c r="I982" t="s">
        <v>1880</v>
      </c>
      <c r="J982">
        <v>92.3</v>
      </c>
      <c r="K982">
        <v>29.7</v>
      </c>
      <c r="L982">
        <v>73.8</v>
      </c>
      <c r="M982">
        <v>117</v>
      </c>
      <c r="N982">
        <v>98</v>
      </c>
      <c r="O982">
        <v>6</v>
      </c>
      <c r="P982">
        <v>10</v>
      </c>
      <c r="Q982" t="s">
        <v>37</v>
      </c>
      <c r="R982" t="s">
        <v>57</v>
      </c>
    </row>
    <row r="983" spans="1:18" x14ac:dyDescent="0.25">
      <c r="A983">
        <v>1982</v>
      </c>
      <c r="B983" t="s">
        <v>1881</v>
      </c>
      <c r="C983" t="s">
        <v>49</v>
      </c>
      <c r="D983" t="s">
        <v>178</v>
      </c>
      <c r="E983" t="s">
        <v>60</v>
      </c>
      <c r="F983" t="s">
        <v>76</v>
      </c>
      <c r="G983">
        <v>6.3</v>
      </c>
      <c r="H983">
        <v>73515</v>
      </c>
      <c r="I983" t="s">
        <v>1882</v>
      </c>
      <c r="J983">
        <v>94.3</v>
      </c>
      <c r="K983">
        <v>10.199999999999999</v>
      </c>
      <c r="L983">
        <v>81.5</v>
      </c>
      <c r="M983">
        <v>75</v>
      </c>
      <c r="N983">
        <v>61</v>
      </c>
      <c r="O983">
        <v>2</v>
      </c>
      <c r="P983">
        <v>11</v>
      </c>
      <c r="Q983" t="s">
        <v>37</v>
      </c>
      <c r="R983" t="s">
        <v>25</v>
      </c>
    </row>
    <row r="984" spans="1:18" x14ac:dyDescent="0.25">
      <c r="A984">
        <v>1983</v>
      </c>
      <c r="B984" t="s">
        <v>1883</v>
      </c>
      <c r="C984" t="s">
        <v>49</v>
      </c>
      <c r="D984" t="s">
        <v>59</v>
      </c>
      <c r="E984" t="s">
        <v>60</v>
      </c>
      <c r="F984" t="s">
        <v>103</v>
      </c>
      <c r="G984">
        <v>3.9</v>
      </c>
      <c r="H984">
        <v>55126</v>
      </c>
      <c r="I984" t="s">
        <v>1884</v>
      </c>
      <c r="J984">
        <v>83.9</v>
      </c>
      <c r="K984">
        <v>23.2</v>
      </c>
      <c r="L984">
        <v>89.2</v>
      </c>
      <c r="M984">
        <v>73</v>
      </c>
      <c r="N984">
        <v>65</v>
      </c>
      <c r="O984">
        <v>0</v>
      </c>
      <c r="P984">
        <v>18</v>
      </c>
      <c r="Q984" t="s">
        <v>24</v>
      </c>
      <c r="R984" t="s">
        <v>25</v>
      </c>
    </row>
    <row r="985" spans="1:18" x14ac:dyDescent="0.25">
      <c r="A985">
        <v>1984</v>
      </c>
      <c r="B985" t="s">
        <v>1885</v>
      </c>
      <c r="C985" t="s">
        <v>89</v>
      </c>
      <c r="D985" t="s">
        <v>90</v>
      </c>
      <c r="E985" t="s">
        <v>91</v>
      </c>
      <c r="F985" t="s">
        <v>103</v>
      </c>
      <c r="G985">
        <v>1.3</v>
      </c>
      <c r="H985">
        <v>52141</v>
      </c>
      <c r="I985" t="s">
        <v>467</v>
      </c>
      <c r="J985">
        <v>88.2</v>
      </c>
      <c r="K985">
        <v>24.7</v>
      </c>
      <c r="L985">
        <v>91.2</v>
      </c>
      <c r="M985">
        <v>77</v>
      </c>
      <c r="N985">
        <v>65</v>
      </c>
      <c r="O985">
        <v>0</v>
      </c>
      <c r="P985">
        <v>11</v>
      </c>
      <c r="Q985" t="s">
        <v>42</v>
      </c>
      <c r="R985" t="s">
        <v>62</v>
      </c>
    </row>
    <row r="986" spans="1:18" x14ac:dyDescent="0.25">
      <c r="A986">
        <v>1985</v>
      </c>
      <c r="B986" t="s">
        <v>1886</v>
      </c>
      <c r="C986" t="s">
        <v>89</v>
      </c>
      <c r="D986" t="s">
        <v>102</v>
      </c>
      <c r="E986" t="s">
        <v>111</v>
      </c>
      <c r="F986" t="s">
        <v>86</v>
      </c>
      <c r="G986">
        <v>1.8</v>
      </c>
      <c r="H986">
        <v>50678</v>
      </c>
      <c r="I986" t="s">
        <v>1349</v>
      </c>
      <c r="J986">
        <v>100</v>
      </c>
      <c r="K986">
        <v>13.1</v>
      </c>
      <c r="L986">
        <v>92.6</v>
      </c>
      <c r="M986">
        <v>66</v>
      </c>
      <c r="N986">
        <v>59</v>
      </c>
      <c r="O986">
        <v>1</v>
      </c>
      <c r="P986">
        <v>19</v>
      </c>
      <c r="Q986" t="s">
        <v>42</v>
      </c>
      <c r="R986" t="s">
        <v>62</v>
      </c>
    </row>
    <row r="987" spans="1:18" x14ac:dyDescent="0.25">
      <c r="A987">
        <v>1986</v>
      </c>
      <c r="B987" t="s">
        <v>1887</v>
      </c>
      <c r="C987" t="s">
        <v>49</v>
      </c>
      <c r="D987" t="s">
        <v>59</v>
      </c>
      <c r="E987" t="s">
        <v>60</v>
      </c>
      <c r="F987" t="s">
        <v>86</v>
      </c>
      <c r="G987">
        <v>8.1999999999999993</v>
      </c>
      <c r="H987">
        <v>78435</v>
      </c>
      <c r="I987" t="s">
        <v>1888</v>
      </c>
      <c r="J987">
        <v>96.5</v>
      </c>
      <c r="K987">
        <v>18.8</v>
      </c>
      <c r="L987">
        <v>80.7</v>
      </c>
      <c r="M987">
        <v>80</v>
      </c>
      <c r="N987">
        <v>69</v>
      </c>
      <c r="O987">
        <v>2</v>
      </c>
      <c r="P987">
        <v>9</v>
      </c>
      <c r="Q987" t="s">
        <v>42</v>
      </c>
      <c r="R987" t="s">
        <v>25</v>
      </c>
    </row>
    <row r="988" spans="1:18" x14ac:dyDescent="0.25">
      <c r="A988">
        <v>1987</v>
      </c>
      <c r="B988" t="s">
        <v>1889</v>
      </c>
      <c r="C988" t="s">
        <v>32</v>
      </c>
      <c r="D988" t="s">
        <v>106</v>
      </c>
      <c r="E988" t="s">
        <v>128</v>
      </c>
      <c r="F988" t="s">
        <v>40</v>
      </c>
      <c r="G988">
        <v>5.5</v>
      </c>
      <c r="H988">
        <v>79918</v>
      </c>
      <c r="I988" t="s">
        <v>1890</v>
      </c>
      <c r="J988">
        <v>85</v>
      </c>
      <c r="K988">
        <v>19.600000000000001</v>
      </c>
      <c r="L988">
        <v>80.400000000000006</v>
      </c>
      <c r="M988">
        <v>111</v>
      </c>
      <c r="N988">
        <v>93</v>
      </c>
      <c r="O988">
        <v>4</v>
      </c>
      <c r="P988">
        <v>15</v>
      </c>
      <c r="Q988" t="s">
        <v>37</v>
      </c>
      <c r="R988" t="s">
        <v>25</v>
      </c>
    </row>
    <row r="989" spans="1:18" x14ac:dyDescent="0.25">
      <c r="A989">
        <v>1988</v>
      </c>
      <c r="B989" t="s">
        <v>1891</v>
      </c>
      <c r="C989" t="s">
        <v>44</v>
      </c>
      <c r="D989" t="s">
        <v>70</v>
      </c>
      <c r="E989" t="s">
        <v>46</v>
      </c>
      <c r="F989" t="s">
        <v>76</v>
      </c>
      <c r="G989">
        <v>8.6</v>
      </c>
      <c r="H989">
        <v>87910</v>
      </c>
      <c r="I989" t="s">
        <v>1892</v>
      </c>
      <c r="J989">
        <v>94.7</v>
      </c>
      <c r="K989">
        <v>24.5</v>
      </c>
      <c r="L989">
        <v>76</v>
      </c>
      <c r="M989">
        <v>102</v>
      </c>
      <c r="N989">
        <v>85</v>
      </c>
      <c r="O989">
        <v>0</v>
      </c>
      <c r="P989">
        <v>15</v>
      </c>
      <c r="Q989" t="s">
        <v>37</v>
      </c>
      <c r="R989" t="s">
        <v>57</v>
      </c>
    </row>
    <row r="990" spans="1:18" x14ac:dyDescent="0.25">
      <c r="A990">
        <v>1989</v>
      </c>
      <c r="B990" t="s">
        <v>1893</v>
      </c>
      <c r="C990" t="s">
        <v>19</v>
      </c>
      <c r="D990" t="s">
        <v>20</v>
      </c>
      <c r="E990" t="s">
        <v>82</v>
      </c>
      <c r="F990" t="s">
        <v>76</v>
      </c>
      <c r="G990">
        <v>4.7</v>
      </c>
      <c r="H990">
        <v>63275</v>
      </c>
      <c r="I990" t="s">
        <v>437</v>
      </c>
      <c r="J990">
        <v>90.7</v>
      </c>
      <c r="K990">
        <v>18</v>
      </c>
      <c r="L990">
        <v>85.7</v>
      </c>
      <c r="M990">
        <v>99</v>
      </c>
      <c r="N990">
        <v>82</v>
      </c>
      <c r="O990">
        <v>2</v>
      </c>
      <c r="P990">
        <v>16</v>
      </c>
      <c r="Q990" t="s">
        <v>37</v>
      </c>
      <c r="R990" t="s">
        <v>25</v>
      </c>
    </row>
    <row r="991" spans="1:18" x14ac:dyDescent="0.25">
      <c r="A991">
        <v>1990</v>
      </c>
      <c r="B991" t="s">
        <v>1894</v>
      </c>
      <c r="C991" t="s">
        <v>32</v>
      </c>
      <c r="D991" t="s">
        <v>33</v>
      </c>
      <c r="E991" t="s">
        <v>94</v>
      </c>
      <c r="F991" t="s">
        <v>86</v>
      </c>
      <c r="G991">
        <v>4.5</v>
      </c>
      <c r="H991">
        <v>60824</v>
      </c>
      <c r="I991" t="s">
        <v>826</v>
      </c>
      <c r="J991">
        <v>87.2</v>
      </c>
      <c r="K991">
        <v>26.7</v>
      </c>
      <c r="L991">
        <v>72.900000000000006</v>
      </c>
      <c r="M991">
        <v>87</v>
      </c>
      <c r="N991">
        <v>58</v>
      </c>
      <c r="O991">
        <v>3</v>
      </c>
      <c r="P991">
        <v>4</v>
      </c>
      <c r="Q991" t="s">
        <v>24</v>
      </c>
      <c r="R991" t="s">
        <v>57</v>
      </c>
    </row>
    <row r="992" spans="1:18" x14ac:dyDescent="0.25">
      <c r="A992">
        <v>1991</v>
      </c>
      <c r="B992" t="s">
        <v>1895</v>
      </c>
      <c r="C992" t="s">
        <v>27</v>
      </c>
      <c r="D992" t="s">
        <v>28</v>
      </c>
      <c r="E992" t="s">
        <v>29</v>
      </c>
      <c r="F992" t="s">
        <v>76</v>
      </c>
      <c r="G992">
        <v>3.2</v>
      </c>
      <c r="H992">
        <v>58820</v>
      </c>
      <c r="I992" t="s">
        <v>1896</v>
      </c>
      <c r="J992">
        <v>94</v>
      </c>
      <c r="K992">
        <v>6.9</v>
      </c>
      <c r="L992">
        <v>83.5</v>
      </c>
      <c r="M992">
        <v>65</v>
      </c>
      <c r="N992">
        <v>52</v>
      </c>
      <c r="O992">
        <v>3</v>
      </c>
      <c r="P992">
        <v>16</v>
      </c>
      <c r="Q992" t="s">
        <v>42</v>
      </c>
      <c r="R992" t="s">
        <v>25</v>
      </c>
    </row>
    <row r="993" spans="1:18" x14ac:dyDescent="0.25">
      <c r="A993">
        <v>1992</v>
      </c>
      <c r="B993" t="s">
        <v>1897</v>
      </c>
      <c r="C993" t="s">
        <v>89</v>
      </c>
      <c r="D993" t="s">
        <v>121</v>
      </c>
      <c r="E993" t="s">
        <v>152</v>
      </c>
      <c r="F993" t="s">
        <v>22</v>
      </c>
      <c r="G993">
        <v>6.6</v>
      </c>
      <c r="H993">
        <v>71527</v>
      </c>
      <c r="I993" t="s">
        <v>1083</v>
      </c>
      <c r="J993">
        <v>88.7</v>
      </c>
      <c r="K993">
        <v>13.9</v>
      </c>
      <c r="L993">
        <v>87.1</v>
      </c>
      <c r="M993">
        <v>64</v>
      </c>
      <c r="N993">
        <v>53</v>
      </c>
      <c r="O993">
        <v>3</v>
      </c>
      <c r="P993">
        <v>9</v>
      </c>
      <c r="Q993" t="s">
        <v>24</v>
      </c>
      <c r="R993" t="s">
        <v>25</v>
      </c>
    </row>
    <row r="994" spans="1:18" x14ac:dyDescent="0.25">
      <c r="A994">
        <v>1993</v>
      </c>
      <c r="B994" t="s">
        <v>1898</v>
      </c>
      <c r="C994" t="s">
        <v>44</v>
      </c>
      <c r="D994" t="s">
        <v>45</v>
      </c>
      <c r="E994" t="s">
        <v>97</v>
      </c>
      <c r="F994" t="s">
        <v>86</v>
      </c>
      <c r="G994">
        <v>2.8</v>
      </c>
      <c r="H994">
        <v>61028</v>
      </c>
      <c r="I994" t="s">
        <v>1899</v>
      </c>
      <c r="J994">
        <v>99.6</v>
      </c>
      <c r="K994">
        <v>23.1</v>
      </c>
      <c r="L994">
        <v>80</v>
      </c>
      <c r="M994">
        <v>101</v>
      </c>
      <c r="N994">
        <v>82</v>
      </c>
      <c r="O994">
        <v>3</v>
      </c>
      <c r="P994">
        <v>19</v>
      </c>
      <c r="Q994" t="s">
        <v>37</v>
      </c>
      <c r="R994" t="s">
        <v>25</v>
      </c>
    </row>
    <row r="995" spans="1:18" x14ac:dyDescent="0.25">
      <c r="A995">
        <v>1994</v>
      </c>
      <c r="B995" t="s">
        <v>1900</v>
      </c>
      <c r="C995" t="s">
        <v>89</v>
      </c>
      <c r="D995" t="s">
        <v>102</v>
      </c>
      <c r="E995" t="s">
        <v>91</v>
      </c>
      <c r="F995" t="s">
        <v>103</v>
      </c>
      <c r="G995">
        <v>3.7</v>
      </c>
      <c r="H995">
        <v>61830</v>
      </c>
      <c r="I995" t="s">
        <v>347</v>
      </c>
      <c r="J995">
        <v>97</v>
      </c>
      <c r="K995">
        <v>19.2</v>
      </c>
      <c r="L995">
        <v>100</v>
      </c>
      <c r="M995">
        <v>91</v>
      </c>
      <c r="N995">
        <v>91</v>
      </c>
      <c r="O995">
        <v>0</v>
      </c>
      <c r="P995">
        <v>17</v>
      </c>
      <c r="Q995" t="s">
        <v>42</v>
      </c>
      <c r="R995" t="s">
        <v>62</v>
      </c>
    </row>
    <row r="996" spans="1:18" x14ac:dyDescent="0.25">
      <c r="A996">
        <v>1995</v>
      </c>
      <c r="B996" t="s">
        <v>1901</v>
      </c>
      <c r="C996" t="s">
        <v>19</v>
      </c>
      <c r="D996" t="s">
        <v>137</v>
      </c>
      <c r="E996" t="s">
        <v>82</v>
      </c>
      <c r="F996" t="s">
        <v>76</v>
      </c>
      <c r="G996">
        <v>4.3</v>
      </c>
      <c r="H996">
        <v>69799</v>
      </c>
      <c r="I996" t="s">
        <v>1579</v>
      </c>
      <c r="J996">
        <v>93.4</v>
      </c>
      <c r="K996">
        <v>20.100000000000001</v>
      </c>
      <c r="L996">
        <v>82.3</v>
      </c>
      <c r="M996">
        <v>87</v>
      </c>
      <c r="N996">
        <v>70</v>
      </c>
      <c r="O996">
        <v>5</v>
      </c>
      <c r="P996">
        <v>15</v>
      </c>
      <c r="Q996" t="s">
        <v>42</v>
      </c>
      <c r="R996" t="s">
        <v>25</v>
      </c>
    </row>
    <row r="997" spans="1:18" x14ac:dyDescent="0.25">
      <c r="A997">
        <v>1996</v>
      </c>
      <c r="B997" t="s">
        <v>1902</v>
      </c>
      <c r="C997" t="s">
        <v>44</v>
      </c>
      <c r="D997" t="s">
        <v>70</v>
      </c>
      <c r="E997" t="s">
        <v>55</v>
      </c>
      <c r="F997" t="s">
        <v>40</v>
      </c>
      <c r="G997">
        <v>2.4</v>
      </c>
      <c r="H997">
        <v>49445</v>
      </c>
      <c r="I997" t="s">
        <v>1903</v>
      </c>
      <c r="J997">
        <v>91.5</v>
      </c>
      <c r="K997">
        <v>12.3</v>
      </c>
      <c r="L997">
        <v>85.5</v>
      </c>
      <c r="M997">
        <v>92</v>
      </c>
      <c r="N997">
        <v>79</v>
      </c>
      <c r="O997">
        <v>0</v>
      </c>
      <c r="P997">
        <v>21</v>
      </c>
      <c r="Q997" t="s">
        <v>24</v>
      </c>
      <c r="R997" t="s">
        <v>25</v>
      </c>
    </row>
    <row r="998" spans="1:18" x14ac:dyDescent="0.25">
      <c r="A998">
        <v>1997</v>
      </c>
      <c r="B998" t="s">
        <v>1904</v>
      </c>
      <c r="C998" t="s">
        <v>49</v>
      </c>
      <c r="D998" t="s">
        <v>50</v>
      </c>
      <c r="E998" t="s">
        <v>163</v>
      </c>
      <c r="F998" t="s">
        <v>76</v>
      </c>
      <c r="G998">
        <v>6.4</v>
      </c>
      <c r="H998">
        <v>76642</v>
      </c>
      <c r="I998" t="s">
        <v>1878</v>
      </c>
      <c r="J998">
        <v>94.9</v>
      </c>
      <c r="K998">
        <v>23.1</v>
      </c>
      <c r="L998">
        <v>92.2</v>
      </c>
      <c r="M998">
        <v>66</v>
      </c>
      <c r="N998">
        <v>64</v>
      </c>
      <c r="O998">
        <v>0</v>
      </c>
      <c r="P998">
        <v>22</v>
      </c>
      <c r="Q998" t="s">
        <v>24</v>
      </c>
      <c r="R998" t="s">
        <v>62</v>
      </c>
    </row>
    <row r="999" spans="1:18" x14ac:dyDescent="0.25">
      <c r="A999">
        <v>1998</v>
      </c>
      <c r="B999" t="s">
        <v>1905</v>
      </c>
      <c r="C999" t="s">
        <v>44</v>
      </c>
      <c r="D999" t="s">
        <v>54</v>
      </c>
      <c r="E999" t="s">
        <v>97</v>
      </c>
      <c r="F999" t="s">
        <v>86</v>
      </c>
      <c r="G999">
        <v>6.4</v>
      </c>
      <c r="H999">
        <v>66303</v>
      </c>
      <c r="I999" t="s">
        <v>1906</v>
      </c>
      <c r="J999">
        <v>86.3</v>
      </c>
      <c r="K999">
        <v>18.7</v>
      </c>
      <c r="L999">
        <v>74.599999999999994</v>
      </c>
      <c r="M999">
        <v>78</v>
      </c>
      <c r="N999">
        <v>61</v>
      </c>
      <c r="O999">
        <v>3</v>
      </c>
      <c r="P999">
        <v>18</v>
      </c>
      <c r="Q999" t="s">
        <v>24</v>
      </c>
      <c r="R999" t="s">
        <v>57</v>
      </c>
    </row>
    <row r="1000" spans="1:18" x14ac:dyDescent="0.25">
      <c r="A1000">
        <v>1999</v>
      </c>
      <c r="B1000" t="s">
        <v>1907</v>
      </c>
      <c r="C1000" t="s">
        <v>44</v>
      </c>
      <c r="D1000" t="s">
        <v>45</v>
      </c>
      <c r="E1000" t="s">
        <v>97</v>
      </c>
      <c r="F1000" t="s">
        <v>103</v>
      </c>
      <c r="G1000">
        <v>7.2</v>
      </c>
      <c r="H1000">
        <v>93776</v>
      </c>
      <c r="I1000" t="s">
        <v>1908</v>
      </c>
      <c r="J1000">
        <v>100</v>
      </c>
      <c r="K1000">
        <v>15.1</v>
      </c>
      <c r="L1000">
        <v>83.1</v>
      </c>
      <c r="M1000">
        <v>91</v>
      </c>
      <c r="N1000">
        <v>76</v>
      </c>
      <c r="O1000">
        <v>3</v>
      </c>
      <c r="P1000">
        <v>17</v>
      </c>
      <c r="Q1000" t="s">
        <v>24</v>
      </c>
      <c r="R1000" t="s">
        <v>25</v>
      </c>
    </row>
    <row r="1001" spans="1:18" x14ac:dyDescent="0.25">
      <c r="A1001">
        <v>2000</v>
      </c>
      <c r="B1001" t="s">
        <v>1909</v>
      </c>
      <c r="C1001" t="s">
        <v>89</v>
      </c>
      <c r="D1001" t="s">
        <v>121</v>
      </c>
      <c r="E1001" t="s">
        <v>152</v>
      </c>
      <c r="F1001" t="s">
        <v>76</v>
      </c>
      <c r="G1001">
        <v>7.7</v>
      </c>
      <c r="H1001">
        <v>81285</v>
      </c>
      <c r="I1001" t="s">
        <v>1910</v>
      </c>
      <c r="J1001">
        <v>100</v>
      </c>
      <c r="K1001">
        <v>8.1999999999999993</v>
      </c>
      <c r="L1001">
        <v>99.9</v>
      </c>
      <c r="M1001">
        <v>74</v>
      </c>
      <c r="N1001">
        <v>74</v>
      </c>
      <c r="O1001">
        <v>0</v>
      </c>
      <c r="P1001">
        <v>21</v>
      </c>
      <c r="Q1001" t="s">
        <v>42</v>
      </c>
      <c r="R1001" t="s">
        <v>62</v>
      </c>
    </row>
  </sheetData>
  <autoFilter ref="A1:R100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"/>
  <sheetViews>
    <sheetView topLeftCell="A26" zoomScaleNormal="80" zoomScaleSheetLayoutView="100" workbookViewId="0">
      <selection sqref="A1:A1048576"/>
    </sheetView>
  </sheetViews>
  <sheetFormatPr defaultRowHeight="15" x14ac:dyDescent="0.25"/>
  <cols>
    <col min="1" max="1" width="32" bestFit="1" customWidth="1"/>
    <col min="2" max="2" width="15.5703125" bestFit="1" customWidth="1"/>
    <col min="3" max="4" width="14.28515625" bestFit="1" customWidth="1"/>
    <col min="5" max="5" width="14" bestFit="1" customWidth="1"/>
    <col min="6" max="6" width="18.7109375" bestFit="1" customWidth="1"/>
    <col min="7" max="7" width="35.28515625" bestFit="1" customWidth="1"/>
    <col min="8" max="8" width="14.42578125" bestFit="1" customWidth="1"/>
    <col min="9" max="9" width="12.28515625" bestFit="1" customWidth="1"/>
    <col min="10" max="10" width="20.7109375" bestFit="1" customWidth="1"/>
    <col min="11" max="11" width="8" bestFit="1" customWidth="1"/>
    <col min="12" max="12" width="11.28515625" bestFit="1" customWidth="1"/>
    <col min="13" max="13" width="7.7109375" bestFit="1" customWidth="1"/>
    <col min="14" max="14" width="9.5703125" bestFit="1" customWidth="1"/>
    <col min="15" max="15" width="19.5703125" bestFit="1" customWidth="1"/>
    <col min="16" max="16" width="20.42578125" bestFit="1" customWidth="1"/>
    <col min="17" max="17" width="21.140625" bestFit="1" customWidth="1"/>
    <col min="18" max="18" width="21.85546875" bestFit="1" customWidth="1"/>
  </cols>
  <sheetData>
    <row r="1" spans="1:8" x14ac:dyDescent="0.25">
      <c r="A1" s="17" t="s">
        <v>1911</v>
      </c>
      <c r="B1" s="2"/>
    </row>
    <row r="2" spans="1:8" x14ac:dyDescent="0.25">
      <c r="A2" s="18" t="s">
        <v>1912</v>
      </c>
      <c r="B2" s="12">
        <f>COUNTA(Raw_Workforce_Data!A2:A1001)</f>
        <v>1000</v>
      </c>
    </row>
    <row r="3" spans="1:8" x14ac:dyDescent="0.25">
      <c r="A3" s="18" t="s">
        <v>1913</v>
      </c>
      <c r="B3" s="12">
        <f>COUNTA(_xlfn.UNIQUE(Raw_Workforce_Data!A2:A1001))</f>
        <v>1000</v>
      </c>
    </row>
    <row r="4" spans="1:8" x14ac:dyDescent="0.25">
      <c r="A4" s="18" t="s">
        <v>1914</v>
      </c>
      <c r="B4" s="12">
        <f>B2-B3</f>
        <v>0</v>
      </c>
    </row>
    <row r="5" spans="1:8" x14ac:dyDescent="0.25">
      <c r="A5" s="18" t="s">
        <v>1915</v>
      </c>
      <c r="B5" s="12">
        <f>COUNTBLANK(Raw_Workforce_Data!A2:A1001)</f>
        <v>0</v>
      </c>
    </row>
    <row r="6" spans="1:8" x14ac:dyDescent="0.25">
      <c r="A6" s="18" t="s">
        <v>1916</v>
      </c>
      <c r="B6" s="12">
        <f>COUNTBLANK(Raw_Workforce_Data!H2:H1001)</f>
        <v>0</v>
      </c>
    </row>
    <row r="7" spans="1:8" x14ac:dyDescent="0.25">
      <c r="A7" s="18" t="s">
        <v>1917</v>
      </c>
      <c r="B7" s="12">
        <f>COUNTBLANK(Raw_Workforce_Data!G2:G1001)</f>
        <v>0</v>
      </c>
    </row>
    <row r="8" spans="1:8" x14ac:dyDescent="0.25">
      <c r="A8" s="18" t="s">
        <v>1918</v>
      </c>
      <c r="B8" s="12">
        <f>COUNTBLANK(Raw_Workforce_Data!J2:J1001)</f>
        <v>0</v>
      </c>
    </row>
    <row r="9" spans="1:8" x14ac:dyDescent="0.25">
      <c r="A9" s="18" t="s">
        <v>1919</v>
      </c>
      <c r="B9" s="12">
        <f>COUNTBLANK(Raw_Workforce_Data!K2:K1001)</f>
        <v>0</v>
      </c>
    </row>
    <row r="10" spans="1:8" x14ac:dyDescent="0.25">
      <c r="A10" s="18" t="s">
        <v>1920</v>
      </c>
      <c r="B10" s="12">
        <f>COUNTBLANK(Raw_Workforce_Data!L2:L1001)</f>
        <v>0</v>
      </c>
      <c r="G10" s="9" t="s">
        <v>2</v>
      </c>
      <c r="H10" s="14" t="s">
        <v>1939</v>
      </c>
    </row>
    <row r="11" spans="1:8" x14ac:dyDescent="0.25">
      <c r="B11" s="13"/>
      <c r="G11" s="2" t="s">
        <v>19</v>
      </c>
      <c r="H11" s="15">
        <v>47</v>
      </c>
    </row>
    <row r="12" spans="1:8" x14ac:dyDescent="0.25">
      <c r="A12" s="17" t="s">
        <v>1921</v>
      </c>
      <c r="B12" s="2"/>
      <c r="C12" s="2"/>
      <c r="D12" s="2"/>
      <c r="G12" s="2" t="s">
        <v>27</v>
      </c>
      <c r="H12" s="16">
        <v>1</v>
      </c>
    </row>
    <row r="13" spans="1:8" x14ac:dyDescent="0.25">
      <c r="A13" s="18" t="s">
        <v>1922</v>
      </c>
      <c r="B13" s="2">
        <v>4.46</v>
      </c>
      <c r="C13" s="2"/>
      <c r="D13" s="2">
        <f>AVERAGE(Raw_Workforce_Data!G2:G1001)</f>
        <v>4.464499999999993</v>
      </c>
      <c r="G13" s="2" t="s">
        <v>32</v>
      </c>
      <c r="H13" s="16">
        <v>72</v>
      </c>
    </row>
    <row r="14" spans="1:8" x14ac:dyDescent="0.25">
      <c r="A14" s="18" t="s">
        <v>1923</v>
      </c>
      <c r="B14" s="3">
        <v>64723</v>
      </c>
      <c r="C14" s="2"/>
      <c r="D14" s="2">
        <f>AVERAGE(Raw_Workforce_Data!H2:H1001)</f>
        <v>64723.353000000003</v>
      </c>
      <c r="G14" s="2" t="s">
        <v>44</v>
      </c>
      <c r="H14" s="16">
        <v>125</v>
      </c>
    </row>
    <row r="15" spans="1:8" x14ac:dyDescent="0.25">
      <c r="A15" s="18" t="s">
        <v>1924</v>
      </c>
      <c r="B15" s="4">
        <v>0.92820000000000003</v>
      </c>
      <c r="C15" s="2"/>
      <c r="D15" s="2">
        <f>AVERAGE(Raw_Workforce_Data!J2:J1001)</f>
        <v>92.820000000000093</v>
      </c>
      <c r="G15" s="2" t="s">
        <v>49</v>
      </c>
      <c r="H15" s="16">
        <v>4</v>
      </c>
    </row>
    <row r="16" spans="1:8" x14ac:dyDescent="0.25">
      <c r="A16" s="18" t="s">
        <v>1925</v>
      </c>
      <c r="B16" s="2">
        <v>17.78</v>
      </c>
      <c r="C16" s="2"/>
      <c r="D16" s="2">
        <f>AVERAGE(Raw_Workforce_Data!K2:K1001)</f>
        <v>17.781400000000019</v>
      </c>
      <c r="G16" s="2" t="s">
        <v>89</v>
      </c>
      <c r="H16" s="16">
        <v>4</v>
      </c>
    </row>
    <row r="17" spans="1:18" x14ac:dyDescent="0.25">
      <c r="A17" s="18" t="s">
        <v>1926</v>
      </c>
      <c r="B17" s="7">
        <v>84.73</v>
      </c>
      <c r="C17" s="2"/>
      <c r="D17" s="5">
        <f>AVERAGE(Raw_Workforce_Data!L2:L1001)</f>
        <v>84.729999999999976</v>
      </c>
      <c r="H17" s="2"/>
    </row>
    <row r="20" spans="1:18" x14ac:dyDescent="0.25">
      <c r="A20" s="6" t="s">
        <v>1932</v>
      </c>
    </row>
    <row r="21" spans="1:18" s="8" customFormat="1" x14ac:dyDescent="0.25">
      <c r="A21" s="9" t="s">
        <v>2</v>
      </c>
      <c r="B21" s="9" t="s">
        <v>1927</v>
      </c>
      <c r="C21" s="9" t="s">
        <v>1928</v>
      </c>
      <c r="D21" s="9" t="s">
        <v>1929</v>
      </c>
      <c r="E21" s="9" t="s">
        <v>1930</v>
      </c>
      <c r="F21" s="9" t="s">
        <v>1931</v>
      </c>
      <c r="G21" s="9" t="s">
        <v>1933</v>
      </c>
      <c r="H21" s="9" t="s">
        <v>1934</v>
      </c>
      <c r="I21" s="9" t="s">
        <v>1935</v>
      </c>
      <c r="J21" s="9" t="s">
        <v>1936</v>
      </c>
      <c r="K21" s="9" t="s">
        <v>1939</v>
      </c>
      <c r="L21" s="9" t="s">
        <v>1938</v>
      </c>
      <c r="M21" s="9" t="s">
        <v>1937</v>
      </c>
      <c r="N21" s="9" t="s">
        <v>1940</v>
      </c>
      <c r="O21" s="9" t="s">
        <v>1941</v>
      </c>
      <c r="P21" s="9" t="s">
        <v>1942</v>
      </c>
      <c r="Q21" s="9" t="s">
        <v>1943</v>
      </c>
      <c r="R21" s="9" t="s">
        <v>1944</v>
      </c>
    </row>
    <row r="22" spans="1:18" x14ac:dyDescent="0.25">
      <c r="A22" s="2" t="str" cm="1">
        <f t="array" ref="A22:A27">_xlfn.UNIQUE(Raw_Workforce_Data!C2:C1001)</f>
        <v>Sales</v>
      </c>
      <c r="B22" s="2">
        <f>COUNTIF(Raw_Workforce_Data!C2:C1001,A22)</f>
        <v>160</v>
      </c>
      <c r="C22" s="7">
        <f>AVERAGEIF(Raw_Workforce_Data!C2:C1001,A22,Raw_Workforce_Data!L2:L1001)</f>
        <v>82.955625000000026</v>
      </c>
      <c r="D22" s="7">
        <f>AVERAGEIF(Raw_Workforce_Data!C2:C1001,A22,Raw_Workforce_Data!K2:K1001)</f>
        <v>19.081875000000004</v>
      </c>
      <c r="E22" s="7">
        <f>AVERAGEIF(Raw_Workforce_Data!C2:C1001,A22,Raw_Workforce_Data!J2:J1001)</f>
        <v>92.774375000000049</v>
      </c>
      <c r="F22" s="3">
        <f>AVERAGEIF(Raw_Workforce_Data!C1:C1001,A22,Raw_Workforce_Data!H1:H1001)</f>
        <v>63322.268750000003</v>
      </c>
      <c r="G22" s="2" t="str">
        <f>IF(AND(C22&lt;$B$17,D22&gt;$B$16),"High Risk - Low Productivity &amp; High OT",IF(AND(C22&gt;=$B$17,D22&lt;=$B$16),"Efficient","Review"))</f>
        <v>High Risk - Low Productivity &amp; High OT</v>
      </c>
      <c r="H22" s="10">
        <f>C22-$B$17</f>
        <v>-1.7743749999999778</v>
      </c>
      <c r="I22" s="7">
        <f>D22-$B$16</f>
        <v>1.3018750000000026</v>
      </c>
      <c r="J22" s="4">
        <f>SUMIF(Raw_Workforce_Data!C2:C1001,A22,Raw_Workforce_Data!N2:N1001)/SUMIF(Raw_Workforce_Data!C2:C1001,A22,Raw_Workforce_Data!M2:M1001)</f>
        <v>0.81241164828951085</v>
      </c>
      <c r="K22" s="2">
        <f>COUNTIFS(Raw_Workforce_Data!C2:C1001,A22,Raw_Workforce_Data!Q2:Q1001,"High")</f>
        <v>47</v>
      </c>
      <c r="L22" s="2">
        <f>COUNTIFS(Raw_Workforce_Data!C2:C1001,A22,Raw_Workforce_Data!Q2:Q1001,"Medium")</f>
        <v>91</v>
      </c>
      <c r="M22" s="2">
        <f>COUNTIFS(Raw_Workforce_Data!C2:C1001,A22,Raw_Workforce_Data!Q2:Q1001,"Low")</f>
        <v>22</v>
      </c>
      <c r="N22" s="11">
        <f t="shared" ref="N22:N27" si="0">K22/B22</f>
        <v>0.29375000000000001</v>
      </c>
      <c r="O22" s="2">
        <f>IF(J22&lt;85%,1,0)+IF(D22&gt;AVERAGE($D$22:$D$27),1,0)+IF(N22&gt;30%,1,0)</f>
        <v>2</v>
      </c>
      <c r="P22" s="2" t="str">
        <f t="shared" ref="P22:P27" si="1">IF(O22=3,"High Hiring Priority",IF(O22=2,"Review / Possible Hiring","Maintain"))</f>
        <v>Review / Possible Hiring</v>
      </c>
      <c r="Q22" s="2">
        <f>SUMIF(Raw_Workforce_Data!C2:C1001,A22,Raw_Workforce_Data!O2:O1001)</f>
        <v>434</v>
      </c>
      <c r="R22" s="7">
        <f t="shared" ref="R22:R27" si="2">Q22/B22</f>
        <v>2.7124999999999999</v>
      </c>
    </row>
    <row r="23" spans="1:18" x14ac:dyDescent="0.25">
      <c r="A23" s="2" t="str">
        <v>Finance</v>
      </c>
      <c r="B23" s="2">
        <f>COUNTIF(Raw_Workforce_Data!C3:C1002,A23)</f>
        <v>163</v>
      </c>
      <c r="C23" s="7">
        <f>AVERAGEIF(Raw_Workforce_Data!C2:C1002,A23,Raw_Workforce_Data!L2:L1002)</f>
        <v>88.3723926380368</v>
      </c>
      <c r="D23" s="7">
        <f>AVERAGEIF(Raw_Workforce_Data!C2:C1002,A23,Raw_Workforce_Data!K2:K1002)</f>
        <v>12.55337423312884</v>
      </c>
      <c r="E23" s="7">
        <f>AVERAGEIF(Raw_Workforce_Data!C2:C1002,A23,Raw_Workforce_Data!J2:J1002)</f>
        <v>92.995092024539858</v>
      </c>
      <c r="F23" s="3">
        <f>AVERAGEIF(Raw_Workforce_Data!C1:C1002,A23,Raw_Workforce_Data!H1:H1002)</f>
        <v>66153.699386503067</v>
      </c>
      <c r="G23" s="2" t="str">
        <f t="shared" ref="G23:G27" si="3">IF(AND(C23&lt;$B$17,D23&gt;$B$16),"High Risk - Low Productivity &amp; High OT",IF(AND(C23&gt;=$B$17,D23&lt;=$B$16),"Efficient","Review"))</f>
        <v>Efficient</v>
      </c>
      <c r="H23" s="10">
        <f t="shared" ref="H23:H27" si="4">C23-$B$17</f>
        <v>3.6423926380367959</v>
      </c>
      <c r="I23" s="7">
        <f t="shared" ref="I23:I27" si="5">D23-$B$16</f>
        <v>-5.2266257668711606</v>
      </c>
      <c r="J23" s="4">
        <f>SUMIF(Raw_Workforce_Data!C3:C1002,A23,Raw_Workforce_Data!N3:N1002)/SUMIF(Raw_Workforce_Data!C3:C1002,A23,Raw_Workforce_Data!M3:M1002)</f>
        <v>0.87262005054759895</v>
      </c>
      <c r="K23" s="2">
        <f>COUNTIFS(Raw_Workforce_Data!C3:C1002,A23,Raw_Workforce_Data!Q3:Q1002,"High")</f>
        <v>1</v>
      </c>
      <c r="L23" s="2">
        <f>COUNTIFS(Raw_Workforce_Data!C3:C1002,A23,Raw_Workforce_Data!Q3:Q1002,"Medium")</f>
        <v>31</v>
      </c>
      <c r="M23" s="2">
        <f>COUNTIFS(Raw_Workforce_Data!C3:C1002,A23,Raw_Workforce_Data!Q3:Q1002,"Low")</f>
        <v>131</v>
      </c>
      <c r="N23" s="11">
        <f t="shared" si="0"/>
        <v>6.1349693251533744E-3</v>
      </c>
      <c r="O23" s="2">
        <f t="shared" ref="O23:O27" si="6">IF(J23&lt;85%,1,0)+IF(D23&gt;AVERAGE($D$22:$D$27),1,0)+IF(N23&gt;30%,1,0)</f>
        <v>0</v>
      </c>
      <c r="P23" s="2" t="str">
        <f t="shared" si="1"/>
        <v>Maintain</v>
      </c>
      <c r="Q23" s="2">
        <f>SUMIF(Raw_Workforce_Data!C3:C1002,A23,Raw_Workforce_Data!O3:O1002)</f>
        <v>316</v>
      </c>
      <c r="R23" s="7">
        <f t="shared" si="2"/>
        <v>1.9386503067484662</v>
      </c>
    </row>
    <row r="24" spans="1:18" x14ac:dyDescent="0.25">
      <c r="A24" s="2" t="str">
        <v>Operations</v>
      </c>
      <c r="B24" s="2">
        <f>COUNTIF(Raw_Workforce_Data!C4:C1003,A24)</f>
        <v>166</v>
      </c>
      <c r="C24" s="7">
        <f>AVERAGEIF(Raw_Workforce_Data!C2:C1003,A24,Raw_Workforce_Data!L2:L1003)</f>
        <v>84.031927710843348</v>
      </c>
      <c r="D24" s="7">
        <f>AVERAGEIF(Raw_Workforce_Data!C2:C1003,A24,Raw_Workforce_Data!K2:K1003)</f>
        <v>24.964457831325308</v>
      </c>
      <c r="E24" s="7">
        <f>AVERAGEIF(Raw_Workforce_Data!C2:C1003,A24,Raw_Workforce_Data!J2:J1003)</f>
        <v>93.01385542168677</v>
      </c>
      <c r="F24" s="3">
        <f>AVERAGEIF(Raw_Workforce_Data!C1:C1003,A24,Raw_Workforce_Data!H1:H1003)</f>
        <v>65501.530120481926</v>
      </c>
      <c r="G24" s="2" t="str">
        <f t="shared" si="3"/>
        <v>High Risk - Low Productivity &amp; High OT</v>
      </c>
      <c r="H24" s="10">
        <f t="shared" si="4"/>
        <v>-0.69807228915665576</v>
      </c>
      <c r="I24" s="7">
        <f t="shared" si="5"/>
        <v>7.1844578313253074</v>
      </c>
      <c r="J24" s="4">
        <f>SUMIF(Raw_Workforce_Data!C4:C1003,A24,Raw_Workforce_Data!N4:N1003)/SUMIF(Raw_Workforce_Data!C4:C1003,A24,Raw_Workforce_Data!M4:M1003)</f>
        <v>0.82978482446206114</v>
      </c>
      <c r="K24" s="2">
        <f>COUNTIFS(Raw_Workforce_Data!C4:C1003,A24,Raw_Workforce_Data!Q4:Q1003,"High")</f>
        <v>72</v>
      </c>
      <c r="L24" s="2">
        <f>COUNTIFS(Raw_Workforce_Data!C4:C1003,A24,Raw_Workforce_Data!Q4:Q1003,"Medium")</f>
        <v>79</v>
      </c>
      <c r="M24" s="2">
        <f>COUNTIFS(Raw_Workforce_Data!C4:C1003,A24,Raw_Workforce_Data!Q4:Q1003,"Low")</f>
        <v>15</v>
      </c>
      <c r="N24" s="11">
        <f t="shared" si="0"/>
        <v>0.43373493975903615</v>
      </c>
      <c r="O24" s="2">
        <f t="shared" si="6"/>
        <v>3</v>
      </c>
      <c r="P24" s="2" t="str">
        <f t="shared" si="1"/>
        <v>High Hiring Priority</v>
      </c>
      <c r="Q24" s="2">
        <f>SUMIF(Raw_Workforce_Data!C4:C1003,A24,Raw_Workforce_Data!O4:O1003)</f>
        <v>460</v>
      </c>
      <c r="R24" s="7">
        <f t="shared" si="2"/>
        <v>2.7710843373493974</v>
      </c>
    </row>
    <row r="25" spans="1:18" x14ac:dyDescent="0.25">
      <c r="A25" s="2" t="str">
        <v>Customer Support</v>
      </c>
      <c r="B25" s="2">
        <f>COUNTIF(Raw_Workforce_Data!C5:C1004,A25)</f>
        <v>182</v>
      </c>
      <c r="C25" s="7">
        <f>AVERAGEIF(Raw_Workforce_Data!C2:C1004,A25,Raw_Workforce_Data!L2:L1004)</f>
        <v>77.421428571428521</v>
      </c>
      <c r="D25" s="7">
        <f>AVERAGEIF(Raw_Workforce_Data!C2:C1004,A25,Raw_Workforce_Data!K2:K1004)</f>
        <v>21.533516483516479</v>
      </c>
      <c r="E25" s="7">
        <f>AVERAGEIF(Raw_Workforce_Data!C2:C1004,A25,Raw_Workforce_Data!J2:J1004)</f>
        <v>93.125824175824164</v>
      </c>
      <c r="F25" s="3">
        <f>AVERAGEIF(Raw_Workforce_Data!C1:C1004,A25,Raw_Workforce_Data!H1:H1004)</f>
        <v>65315.5</v>
      </c>
      <c r="G25" s="2" t="str">
        <f t="shared" si="3"/>
        <v>High Risk - Low Productivity &amp; High OT</v>
      </c>
      <c r="H25" s="10">
        <f t="shared" si="4"/>
        <v>-7.3085714285714829</v>
      </c>
      <c r="I25" s="7">
        <f t="shared" si="5"/>
        <v>3.7535164835164778</v>
      </c>
      <c r="J25" s="4">
        <f>SUMIF(Raw_Workforce_Data!C5:C1004,A25,Raw_Workforce_Data!N5:N1004)/SUMIF(Raw_Workforce_Data!C5:C1004,A25,Raw_Workforce_Data!M5:M1004)</f>
        <v>0.77140077821011677</v>
      </c>
      <c r="K25" s="2">
        <f>COUNTIFS(Raw_Workforce_Data!C5:C1004,A25,Raw_Workforce_Data!Q5:Q1004,"High")</f>
        <v>125</v>
      </c>
      <c r="L25" s="2">
        <f>COUNTIFS(Raw_Workforce_Data!C5:C1004,A25,Raw_Workforce_Data!Q5:Q1004,"Medium")</f>
        <v>57</v>
      </c>
      <c r="M25" s="2">
        <f>COUNTIFS(Raw_Workforce_Data!C5:C1004,A25,Raw_Workforce_Data!Q5:Q1004,"Low")</f>
        <v>0</v>
      </c>
      <c r="N25" s="11">
        <f t="shared" si="0"/>
        <v>0.68681318681318682</v>
      </c>
      <c r="O25" s="2">
        <f t="shared" si="6"/>
        <v>3</v>
      </c>
      <c r="P25" s="2" t="str">
        <f t="shared" si="1"/>
        <v>High Hiring Priority</v>
      </c>
      <c r="Q25" s="2">
        <f>SUMIF(Raw_Workforce_Data!C5:C1004,A25,Raw_Workforce_Data!O5:O1004)</f>
        <v>624</v>
      </c>
      <c r="R25" s="7">
        <f t="shared" si="2"/>
        <v>3.4285714285714284</v>
      </c>
    </row>
    <row r="26" spans="1:18" x14ac:dyDescent="0.25">
      <c r="A26" s="2" t="str">
        <v>HR</v>
      </c>
      <c r="B26" s="2">
        <f>COUNTIF(Raw_Workforce_Data!C6:C1005,A26)</f>
        <v>163</v>
      </c>
      <c r="C26" s="7">
        <f>AVERAGEIF(Raw_Workforce_Data!C2:C1005,A26,Raw_Workforce_Data!L2:L1005)</f>
        <v>85.933742331288386</v>
      </c>
      <c r="D26" s="7">
        <f>AVERAGEIF(Raw_Workforce_Data!C2:C1005,A26,Raw_Workforce_Data!K2:K1005)</f>
        <v>11.187116564417177</v>
      </c>
      <c r="E26" s="7">
        <f>AVERAGEIF(Raw_Workforce_Data!C2:C1005,A26,Raw_Workforce_Data!J2:J1005)</f>
        <v>92.676073619631879</v>
      </c>
      <c r="F26" s="3">
        <f>AVERAGEIF(Raw_Workforce_Data!C1:C1005,A26,Raw_Workforce_Data!H1:H1005)</f>
        <v>61932.760736196316</v>
      </c>
      <c r="G26" s="2" t="str">
        <f t="shared" si="3"/>
        <v>Efficient</v>
      </c>
      <c r="H26" s="10">
        <f t="shared" si="4"/>
        <v>1.2037423312883817</v>
      </c>
      <c r="I26" s="7">
        <f t="shared" si="5"/>
        <v>-6.5928834355828236</v>
      </c>
      <c r="J26" s="4">
        <f>SUMIF(Raw_Workforce_Data!C6:C1005,A26,Raw_Workforce_Data!N6:N1005)/SUMIF(Raw_Workforce_Data!C6:C1005,A26,Raw_Workforce_Data!M6:M1005)</f>
        <v>0.85791846875862698</v>
      </c>
      <c r="K26" s="2">
        <f>COUNTIFS(Raw_Workforce_Data!C6:C1005,A26,Raw_Workforce_Data!Q6:Q1005,"High")</f>
        <v>4</v>
      </c>
      <c r="L26" s="2">
        <f>COUNTIFS(Raw_Workforce_Data!C6:C1005,A26,Raw_Workforce_Data!Q6:Q1005,"Medium")</f>
        <v>52</v>
      </c>
      <c r="M26" s="2">
        <f>COUNTIFS(Raw_Workforce_Data!C6:C1005,A26,Raw_Workforce_Data!Q6:Q1005,"Low")</f>
        <v>107</v>
      </c>
      <c r="N26" s="11">
        <f t="shared" si="0"/>
        <v>2.4539877300613498E-2</v>
      </c>
      <c r="O26" s="2">
        <f t="shared" si="6"/>
        <v>0</v>
      </c>
      <c r="P26" s="2" t="str">
        <f t="shared" si="1"/>
        <v>Maintain</v>
      </c>
      <c r="Q26" s="2">
        <f>SUMIF(Raw_Workforce_Data!C6:C1005,A26,Raw_Workforce_Data!O6:O1005)</f>
        <v>371</v>
      </c>
      <c r="R26" s="7">
        <f t="shared" si="2"/>
        <v>2.276073619631902</v>
      </c>
    </row>
    <row r="27" spans="1:18" x14ac:dyDescent="0.25">
      <c r="A27" s="2" t="str">
        <v>IT</v>
      </c>
      <c r="B27" s="2">
        <f>COUNTIF(Raw_Workforce_Data!C7:C1006,A27)</f>
        <v>166</v>
      </c>
      <c r="C27" s="7">
        <f>AVERAGEIF(Raw_Workforce_Data!C2:C1006,A27,Raw_Workforce_Data!L2:L1006)</f>
        <v>90.392771084337369</v>
      </c>
      <c r="D27" s="7">
        <f>AVERAGEIF(Raw_Workforce_Data!C2:C1006,A27,Raw_Workforce_Data!K2:K1006)</f>
        <v>16.839759036144574</v>
      </c>
      <c r="E27" s="7">
        <f>AVERAGEIF(Raw_Workforce_Data!C2:C1006,A27,Raw_Workforce_Data!J2:J1006)</f>
        <v>92.30421686746989</v>
      </c>
      <c r="F27" s="3">
        <f>AVERAGEIF(Raw_Workforce_Data!C1:C1006,A27,Raw_Workforce_Data!H1:H1006)</f>
        <v>65982.060240963852</v>
      </c>
      <c r="G27" s="2" t="str">
        <f t="shared" si="3"/>
        <v>Efficient</v>
      </c>
      <c r="H27" s="10">
        <f t="shared" si="4"/>
        <v>5.6627710843373649</v>
      </c>
      <c r="I27" s="7">
        <f t="shared" si="5"/>
        <v>-0.94024096385542677</v>
      </c>
      <c r="J27" s="4">
        <f>SUMIF(Raw_Workforce_Data!C7:C1006,A27,Raw_Workforce_Data!N7:N1006)/SUMIF(Raw_Workforce_Data!C7:C1006,A27,Raw_Workforce_Data!M7:M1006)</f>
        <v>0.89428464699290255</v>
      </c>
      <c r="K27" s="2">
        <f>COUNTIFS(Raw_Workforce_Data!C7:C1006,A27,Raw_Workforce_Data!Q7:Q1006,"High")</f>
        <v>4</v>
      </c>
      <c r="L27" s="2">
        <f>COUNTIFS(Raw_Workforce_Data!C7:C1006,A27,Raw_Workforce_Data!Q7:Q1006,"Medium")</f>
        <v>60</v>
      </c>
      <c r="M27" s="2">
        <f>COUNTIFS(Raw_Workforce_Data!C7:C1006,A27,Raw_Workforce_Data!Q7:Q1006,"Low")</f>
        <v>102</v>
      </c>
      <c r="N27" s="11">
        <f t="shared" si="0"/>
        <v>2.4096385542168676E-2</v>
      </c>
      <c r="O27" s="2">
        <f t="shared" si="6"/>
        <v>0</v>
      </c>
      <c r="P27" s="2" t="str">
        <f t="shared" si="1"/>
        <v>Maintain</v>
      </c>
      <c r="Q27" s="2">
        <f>SUMIF(Raw_Workforce_Data!C7:C1006,A27,Raw_Workforce_Data!O7:O1006)</f>
        <v>311</v>
      </c>
      <c r="R27" s="7">
        <f t="shared" si="2"/>
        <v>1.8734939759036144</v>
      </c>
    </row>
    <row r="33" spans="1:9" x14ac:dyDescent="0.25">
      <c r="A33" s="19" t="s">
        <v>1947</v>
      </c>
      <c r="B33" s="19" t="s">
        <v>3</v>
      </c>
      <c r="C33" s="19" t="s">
        <v>1927</v>
      </c>
      <c r="D33" s="19" t="s">
        <v>1928</v>
      </c>
      <c r="E33" s="19" t="s">
        <v>1929</v>
      </c>
      <c r="F33" s="19" t="s">
        <v>14</v>
      </c>
      <c r="G33" s="19" t="s">
        <v>1930</v>
      </c>
      <c r="H33" s="19" t="s">
        <v>1948</v>
      </c>
    </row>
    <row r="34" spans="1:9" x14ac:dyDescent="0.25">
      <c r="A34" s="20" t="s">
        <v>1945</v>
      </c>
      <c r="B34" s="20" t="str" cm="1">
        <f t="array" ref="B34:B36">_xlfn.UNIQUE(_xlfn._xlws.FILTER(Raw_Workforce_Data!D2:D1001,Raw_Workforce_Data!C2:C1001="operations"))</f>
        <v>Fulfillment</v>
      </c>
      <c r="C34" s="20">
        <f>COUNTIF(Raw_Workforce_Data!D$2:D$1001,B34)</f>
        <v>55</v>
      </c>
      <c r="D34" s="21">
        <f>AVERAGEIF(Raw_Workforce_Data!D$2:D$1001,B34,Raw_Workforce_Data!L$2:L$1001)</f>
        <v>84.032727272727257</v>
      </c>
      <c r="E34" s="21">
        <f>AVERAGEIF(Raw_Workforce_Data!D$2:D$1001,B34,Raw_Workforce_Data!K$2:K$1001)</f>
        <v>24.490909090909092</v>
      </c>
      <c r="F34" s="20">
        <f>SUMIF(Raw_Workforce_Data!D$2:D$1001,B34,Raw_Workforce_Data!O$2:O$1001)</f>
        <v>159</v>
      </c>
      <c r="G34" s="22">
        <f>AVERAGEIF(Raw_Workforce_Data!D$2:D$1001,B34,Raw_Workforce_Data!J$2:J$1001)</f>
        <v>92.792727272727276</v>
      </c>
      <c r="H34" s="21">
        <f>AVERAGEIF(Raw_Workforce_Data!D$2:D$1001,B34,Raw_Workforce_Data!G$2:G$1001)</f>
        <v>4.8000000000000007</v>
      </c>
    </row>
    <row r="35" spans="1:9" x14ac:dyDescent="0.25">
      <c r="A35" s="20" t="s">
        <v>1945</v>
      </c>
      <c r="B35" s="20" t="str">
        <v>Process Control</v>
      </c>
      <c r="C35" s="20">
        <f>COUNTIF(Raw_Workforce_Data!D$2:D$1001,B35)</f>
        <v>53</v>
      </c>
      <c r="D35" s="21">
        <f>AVERAGEIF(Raw_Workforce_Data!D$2:D$1001,B35,Raw_Workforce_Data!L$2:L$1001)</f>
        <v>83.250943396226432</v>
      </c>
      <c r="E35" s="21">
        <f>AVERAGEIF(Raw_Workforce_Data!D$2:D$1001,B35,Raw_Workforce_Data!K$2:K$1001)</f>
        <v>25.356603773584911</v>
      </c>
      <c r="F35" s="20">
        <f>SUMIF(Raw_Workforce_Data!D$2:D$1001,B35,Raw_Workforce_Data!O$2:O$1001)</f>
        <v>130</v>
      </c>
      <c r="G35" s="22">
        <f>AVERAGEIF(Raw_Workforce_Data!D$2:D$1001,B35,Raw_Workforce_Data!J$2:J$1001)</f>
        <v>93.164150943396237</v>
      </c>
      <c r="H35" s="21">
        <f>AVERAGEIF(Raw_Workforce_Data!D$2:D$1001,B35,Raw_Workforce_Data!G$2:G$1001)</f>
        <v>4.4075471698113207</v>
      </c>
    </row>
    <row r="36" spans="1:9" x14ac:dyDescent="0.25">
      <c r="A36" s="20" t="s">
        <v>1945</v>
      </c>
      <c r="B36" s="20" t="str">
        <v>Dispatch</v>
      </c>
      <c r="C36" s="20">
        <f>COUNTIF(Raw_Workforce_Data!D$2:D$1001,B36)</f>
        <v>58</v>
      </c>
      <c r="D36" s="21">
        <f>AVERAGEIF(Raw_Workforce_Data!D$2:D$1001,B36,Raw_Workforce_Data!L$2:L$1001)</f>
        <v>84.744827586206881</v>
      </c>
      <c r="E36" s="21">
        <f>AVERAGEIF(Raw_Workforce_Data!D$2:D$1001,B36,Raw_Workforce_Data!K$2:K$1001)</f>
        <v>25.055172413793105</v>
      </c>
      <c r="F36" s="20">
        <f>SUMIF(Raw_Workforce_Data!D$2:D$1001,B36,Raw_Workforce_Data!O$2:O$1001)</f>
        <v>171</v>
      </c>
      <c r="G36" s="22">
        <f>AVERAGEIF(Raw_Workforce_Data!D$2:D$1001,B36,Raw_Workforce_Data!J$2:J$1001)</f>
        <v>93.086206896551758</v>
      </c>
      <c r="H36" s="21">
        <f>AVERAGEIF(Raw_Workforce_Data!D$2:D$1001,B36,Raw_Workforce_Data!G$2:G$1001)</f>
        <v>4.1775862068965504</v>
      </c>
    </row>
    <row r="37" spans="1:9" x14ac:dyDescent="0.25">
      <c r="A37" s="20" t="s">
        <v>1946</v>
      </c>
      <c r="B37" s="20" t="str" cm="1">
        <f t="array" ref="B37:B39">_xlfn.UNIQUE(_xlfn._xlws.FILTER(Raw_Workforce_Data!D2:D1001,Raw_Workforce_Data!C2:C1001="customer support"))</f>
        <v>Escalations</v>
      </c>
      <c r="C37" s="20">
        <f>COUNTIF(Raw_Workforce_Data!D$2:D$1001,B37)</f>
        <v>56</v>
      </c>
      <c r="D37" s="21">
        <f>AVERAGEIF(Raw_Workforce_Data!D$2:D$1001,B37,Raw_Workforce_Data!L$2:L$1001)</f>
        <v>77.64107142857145</v>
      </c>
      <c r="E37" s="21">
        <f>AVERAGEIF(Raw_Workforce_Data!D$2:D$1001,B37,Raw_Workforce_Data!K$2:K$1001)</f>
        <v>22.910714285714274</v>
      </c>
      <c r="F37" s="20">
        <f>SUMIF(Raw_Workforce_Data!D$2:D$1001,B37,Raw_Workforce_Data!O$2:O$1001)</f>
        <v>194</v>
      </c>
      <c r="G37" s="22">
        <f>AVERAGEIF(Raw_Workforce_Data!D$2:D$1001,B37,Raw_Workforce_Data!J$2:J$1001)</f>
        <v>92.975000000000037</v>
      </c>
      <c r="H37" s="21">
        <f>AVERAGEIF(Raw_Workforce_Data!D$2:D$1001,B37,Raw_Workforce_Data!G$2:G$1001)</f>
        <v>4.3928571428571423</v>
      </c>
    </row>
    <row r="38" spans="1:9" x14ac:dyDescent="0.25">
      <c r="A38" s="20" t="s">
        <v>1946</v>
      </c>
      <c r="B38" s="20" t="str">
        <v>Voice Support</v>
      </c>
      <c r="C38" s="20">
        <f>COUNTIF(Raw_Workforce_Data!D$2:D$1001,B38)</f>
        <v>69</v>
      </c>
      <c r="D38" s="21">
        <f>AVERAGEIF(Raw_Workforce_Data!D$2:D$1001,B38,Raw_Workforce_Data!L$2:L$1001)</f>
        <v>76.971014492753596</v>
      </c>
      <c r="E38" s="21">
        <f>AVERAGEIF(Raw_Workforce_Data!D$2:D$1001,B38,Raw_Workforce_Data!K$2:K$1001)</f>
        <v>21.639130434782608</v>
      </c>
      <c r="F38" s="20">
        <f>SUMIF(Raw_Workforce_Data!D$2:D$1001,B38,Raw_Workforce_Data!O$2:O$1001)</f>
        <v>244</v>
      </c>
      <c r="G38" s="22">
        <f>AVERAGEIF(Raw_Workforce_Data!D$2:D$1001,B38,Raw_Workforce_Data!J$2:J$1001)</f>
        <v>92.90144927536231</v>
      </c>
      <c r="H38" s="21">
        <f>AVERAGEIF(Raw_Workforce_Data!D$2:D$1001,B38,Raw_Workforce_Data!G$2:G$1001)</f>
        <v>4.3811594202898565</v>
      </c>
    </row>
    <row r="39" spans="1:9" x14ac:dyDescent="0.25">
      <c r="A39" s="20" t="s">
        <v>1946</v>
      </c>
      <c r="B39" s="20" t="str">
        <v>Email Support</v>
      </c>
      <c r="C39" s="20">
        <f>COUNTIF(Raw_Workforce_Data!D$2:D$1001,B39)</f>
        <v>57</v>
      </c>
      <c r="D39" s="21">
        <f>AVERAGEIF(Raw_Workforce_Data!D$2:D$1001,B39,Raw_Workforce_Data!L$2:L$1001)</f>
        <v>77.750877192982458</v>
      </c>
      <c r="E39" s="21">
        <f>AVERAGEIF(Raw_Workforce_Data!D$2:D$1001,B39,Raw_Workforce_Data!K$2:K$1001)</f>
        <v>20.05263157894737</v>
      </c>
      <c r="F39" s="20">
        <f>SUMIF(Raw_Workforce_Data!D$2:D$1001,B39,Raw_Workforce_Data!O$2:O$1001)</f>
        <v>186</v>
      </c>
      <c r="G39" s="22">
        <f>AVERAGEIF(Raw_Workforce_Data!D$2:D$1001,B39,Raw_Workforce_Data!J$2:J$1001)</f>
        <v>93.545614035087723</v>
      </c>
      <c r="H39" s="21">
        <f>AVERAGEIF(Raw_Workforce_Data!D$2:D$1001,B39,Raw_Workforce_Data!G$2:G$1001)</f>
        <v>4.9824561403508758</v>
      </c>
      <c r="I39" s="24"/>
    </row>
    <row r="40" spans="1:9" x14ac:dyDescent="0.25">
      <c r="I40" s="25"/>
    </row>
    <row r="41" spans="1:9" x14ac:dyDescent="0.25">
      <c r="I41" s="26"/>
    </row>
    <row r="42" spans="1:9" x14ac:dyDescent="0.25">
      <c r="A42" s="27" t="s">
        <v>2</v>
      </c>
      <c r="B42" s="27" t="s">
        <v>1928</v>
      </c>
      <c r="C42" s="27" t="s">
        <v>1929</v>
      </c>
      <c r="I42" s="23"/>
    </row>
    <row r="43" spans="1:9" x14ac:dyDescent="0.25">
      <c r="A43" s="20" t="s">
        <v>19</v>
      </c>
      <c r="B43" s="21">
        <v>82.955625000000026</v>
      </c>
      <c r="C43" s="21">
        <v>19.081875000000004</v>
      </c>
      <c r="I43" s="23"/>
    </row>
    <row r="44" spans="1:9" x14ac:dyDescent="0.25">
      <c r="A44" s="20" t="s">
        <v>27</v>
      </c>
      <c r="B44" s="21">
        <v>88.3723926380368</v>
      </c>
      <c r="C44" s="21">
        <v>12.55337423312884</v>
      </c>
      <c r="I44" s="23"/>
    </row>
    <row r="45" spans="1:9" x14ac:dyDescent="0.25">
      <c r="A45" s="20" t="s">
        <v>32</v>
      </c>
      <c r="B45" s="21">
        <v>84.031927710843348</v>
      </c>
      <c r="C45" s="21">
        <v>24.964457831325308</v>
      </c>
      <c r="I45" s="23"/>
    </row>
    <row r="46" spans="1:9" x14ac:dyDescent="0.25">
      <c r="A46" s="20" t="s">
        <v>44</v>
      </c>
      <c r="B46" s="21">
        <v>77.421428571428521</v>
      </c>
      <c r="C46" s="21">
        <v>21.533516483516479</v>
      </c>
      <c r="I46" s="23"/>
    </row>
    <row r="47" spans="1:9" x14ac:dyDescent="0.25">
      <c r="A47" s="20" t="s">
        <v>49</v>
      </c>
      <c r="B47" s="21">
        <v>85.933742331288386</v>
      </c>
      <c r="C47" s="21">
        <v>11.187116564417177</v>
      </c>
    </row>
    <row r="48" spans="1:9" x14ac:dyDescent="0.25">
      <c r="A48" s="20" t="s">
        <v>89</v>
      </c>
      <c r="B48" s="21">
        <v>90.392771084337369</v>
      </c>
      <c r="C48" s="21">
        <v>16.839759036144574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V56"/>
  <sheetViews>
    <sheetView showGridLines="0" tabSelected="1" zoomScale="48" zoomScaleNormal="48" zoomScaleSheetLayoutView="100" workbookViewId="0">
      <selection activeCell="Y18" sqref="Y18"/>
    </sheetView>
  </sheetViews>
  <sheetFormatPr defaultRowHeight="15" x14ac:dyDescent="0.25"/>
  <sheetData>
    <row r="56" spans="22:22" x14ac:dyDescent="0.25">
      <c r="V56" t="s">
        <v>1949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Raw_Workforce_Data</vt:lpstr>
      <vt:lpstr>Analysis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issac</cp:lastModifiedBy>
  <dcterms:created xsi:type="dcterms:W3CDTF">2026-08-08T05:08:41Z</dcterms:created>
  <dcterms:modified xsi:type="dcterms:W3CDTF">2026-08-08T14:41:20Z</dcterms:modified>
</cp:coreProperties>
</file>